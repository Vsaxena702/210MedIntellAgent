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defaultThemeVersion="166925"/>
  <mc:AlternateContent xmlns:mc="http://schemas.openxmlformats.org/markup-compatibility/2006">
    <mc:Choice Requires="x15">
      <x15ac:absPath xmlns:x15ac="http://schemas.microsoft.com/office/spreadsheetml/2010/11/ac" url="/Users/vishalsaxena/Documents/BERKMIDS2024ROOT/09MIDSCourses/MIDS 210 Capstone/210 Med-IntellAgent Work/dev_factory_100425/Evaluation Framework/210_production_files/"/>
    </mc:Choice>
  </mc:AlternateContent>
  <xr:revisionPtr revIDLastSave="0" documentId="13_ncr:1_{A78EFB5F-9C51-2340-B1DE-80748A3689AD}" xr6:coauthVersionLast="47" xr6:coauthVersionMax="47" xr10:uidLastSave="{00000000-0000-0000-0000-000000000000}"/>
  <bookViews>
    <workbookView xWindow="0" yWindow="740" windowWidth="30240" windowHeight="18900" activeTab="3" xr2:uid="{D62C8FC0-C4BF-6C4F-8850-2738FFABCF01}"/>
  </bookViews>
  <sheets>
    <sheet name="unit_test_results_1and2" sheetId="3" r:id="rId1"/>
    <sheet name="unit_test_1and2.F" sheetId="7" r:id="rId2"/>
    <sheet name="PV.A" sheetId="8" r:id="rId3"/>
    <sheet name="Graph" sheetId="5" r:id="rId4"/>
    <sheet name="human_scoring" sheetId="6" r:id="rId5"/>
    <sheet name="hj_lj" sheetId="11" r:id="rId6"/>
  </sheets>
  <definedNames>
    <definedName name="_xlchart.v2.0" hidden="1">Graph!$C$16:$C$19</definedName>
    <definedName name="_xlchart.v2.1" hidden="1">Graph!$D$15</definedName>
    <definedName name="_xlchart.v2.2" hidden="1">Graph!$D$16:$D$19</definedName>
    <definedName name="_xlchart.v2.3" hidden="1">Graph!$E$15</definedName>
    <definedName name="_xlchart.v2.4" hidden="1">Graph!$E$16:$E$19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19" i="5" l="1"/>
  <c r="E18" i="5"/>
  <c r="E17" i="5"/>
  <c r="D19" i="5"/>
  <c r="D18" i="5"/>
  <c r="D17" i="5"/>
  <c r="E16" i="5"/>
  <c r="D16" i="5"/>
  <c r="D9" i="5"/>
  <c r="D8" i="5"/>
  <c r="D7" i="5"/>
  <c r="D6" i="5"/>
  <c r="D5" i="5"/>
  <c r="D4" i="5"/>
  <c r="D3" i="5"/>
  <c r="D28" i="8"/>
  <c r="E28" i="8"/>
  <c r="F28" i="8"/>
  <c r="G28" i="8"/>
  <c r="H28" i="8"/>
  <c r="I28" i="8"/>
  <c r="C28" i="8"/>
  <c r="K158" i="3" a="1"/>
  <c r="K158" i="3" s="1"/>
  <c r="K160" i="3" a="1"/>
  <c r="K160" i="3" s="1"/>
  <c r="K161" i="3" a="1"/>
  <c r="K161" i="3" s="1"/>
  <c r="K162" i="3" a="1"/>
  <c r="K162" i="3" s="1"/>
  <c r="K163" i="3" a="1"/>
  <c r="K163" i="3" s="1"/>
  <c r="K164" i="3" a="1"/>
  <c r="K164" i="3" s="1"/>
  <c r="K165" i="3" a="1"/>
  <c r="K165" i="3" s="1"/>
  <c r="K166" i="3" a="1"/>
  <c r="K166"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<sst xmlns="http://schemas.openxmlformats.org/spreadsheetml/2006/main" count="801" uniqueCount="230">
  <si>
    <t>patient_id</t>
  </si>
  <si>
    <t>user_question</t>
  </si>
  <si>
    <t>empathy_opt_score</t>
  </si>
  <si>
    <t>nonopt_R_score</t>
  </si>
  <si>
    <t>nonopt_F_score</t>
  </si>
  <si>
    <t>nonopt_H_score</t>
  </si>
  <si>
    <t>opt_R_score</t>
  </si>
  <si>
    <t>opt_F_score</t>
  </si>
  <si>
    <t>opt_H_score</t>
  </si>
  <si>
    <t>nonopt_resp</t>
  </si>
  <si>
    <t>opt_resp</t>
  </si>
  <si>
    <t>25f30c19-e98a-85ea-6de8-f976388d4678</t>
  </si>
  <si>
    <t>Give me my blood pressure readings over time</t>
  </si>
  <si>
    <t>No data found for the requested query.</t>
  </si>
  <si>
    <t>I understand that keeping track of your blood pressure readings is important for your health, and it can be concerning if you‚Äôre unsure about your numbers over time. Unfortunately, I don‚Äôt have access to your specific blood pressure readings. However, I recommend checking with your healthcare provider or accessing your medical records if you have them available. They can provide you with a detailed history of your readings. If you have been monitoring your blood pressure at home, it might be helpful to compile those numbers as well. If you have any other questions or need assistance with understanding your readings, please feel free to ask. Your health is important, and I'm here to help!</t>
  </si>
  <si>
    <t>0e5401fd-b241-3c84-066e-2b88e5ddafc7</t>
  </si>
  <si>
    <t>What are my vitals</t>
  </si>
  <si>
    <t>I understand that you're looking for information about your vitals, and it's completely normal to want to stay informed about your health. However, I currently don't have access to your specific vital signs data. If you have a recent check-up or any records, I recommend reviewing those for your vitals, which typically include your heart rate, blood pressure, temperature, and respiratory rate. If you need assistance interpreting those numbers or have any concerns, please feel free to reach out to your healthcare provider. They can provide you with the most accurate and personalized information. If there's anything else I can help you with or if you have more questions, please let me know!</t>
  </si>
  <si>
    <t>3de203ff-a5b9-e99a-c705-3927503e2abf</t>
  </si>
  <si>
    <t>What has been my maximum weight</t>
  </si>
  <si>
    <t>The table shows a single entry for patient ID 3de203ff-a5b9-e99a-c705-3927503e2abf, indicating a body weight of 70.3 kg recorded on August 5, 2024. There are no additional vital signs or historical data provided, which limits the ability to assess trends or changes over time. The table appears truncated, as only one row is shown.</t>
  </si>
  <si>
    <t>I understand that you're looking to track your weight, and it's completely normal to want to know your maximum weight for various reasons, whether it's for health monitoring or personal goals. Based on the data available, your most recent recorded weight is 70.3 kg as of August 5, 2024. However, I don't have access to your complete weight history to determine if this is your maximum weight. If you have previous records or if you can check with your healthcare provider, they may be able to provide you with that information. If you're looking to manage your weight or have any concerns about it, please feel free to share, and I can help guide you on the next steps or resources that might be beneficial for you.</t>
  </si>
  <si>
    <t>8c8e1c9a-b310-43c6-33a7-ad11bad21c40</t>
  </si>
  <si>
    <t>What has been my weight trend</t>
  </si>
  <si>
    <t>The data shows a trend of decreasing body weight for the patient over time, with values recorded at 104.5 kg in both 2018 and 2021, followed by a decrease to 96.4 kg in April 2024, and a slight increase to 97.5 kg in October 2024. Notably, the most recent measurement indicates a weight of 97.5 kg, which is still lower than the earlier values. There are no other vital signs recorded, and the table is truncated, showing only 4 rows.</t>
  </si>
  <si>
    <t>I understand that tracking your weight trend can be important for your health and well-being, and I appreciate you reaching out about this. It can sometimes feel overwhelming to see changes in weight over time, but it's great that you're taking the initiative to monitor it.
Looking at your weight data, here‚Äôs a summary of your weight trend:
- **April 4, 2018**: 104.5 kg
- **April 7, 2021**: 104.5 kg (no change from 2018)
- **April 10, 2024**: 96.4 kg (a decrease of 8.1 kg)
- **October 16, 2024**: 97.5 kg (an increase of 1.1 kg from April)
Overall, it appears that you have made significant progress in reducing your weight from 2018 to 2024, with a notable drop in April 2024. The slight increase since then is not uncommon and can happen for various reasons, including changes in diet, activity level, or even water retention.
If you have any specific concerns or if you‚Äôre looking for guidance on maintaining or further managing your weight, please let me know. I'm here to help you with any next steps or support you may need!</t>
  </si>
  <si>
    <t>2da86d63-34ae-b887-ddff-8f6f1e6990f1</t>
  </si>
  <si>
    <t>What tidings bring‚Äôst thou of my latest test results</t>
  </si>
  <si>
    <t>The data for patient ID 2da86d63-34ae-b887-ddff-8f6f1e6990f1 includes 31 rows, with the most recent entries dated June 17, 2023. Notable values include a Total AUDIT-C score of 1, a Body Mass Index (BMI) of 21.74 kg/m¬≤, and a Pain severity score of 2. There are several fields marked as "‚Äî", indicating missing data, particularly for the blood pressure panel, tobacco smoking status, and various assessments related to pain and substance use. The table appears truncated, as it does not provide a complete overview of the patient's medical history.</t>
  </si>
  <si>
    <t>I understand that waiting for test results can be a stressful experience, and it's completely normal to feel anxious about it. Your health and well-being are important, and I‚Äôm here to help you with the information you need.
Based on your latest test results from June 17, 2023, here are some key findings:
- **Total score [AUDIT-C]:** 1 (This score is typically used to assess alcohol use.)
- **Body Height:** 178.5 cm
- **Body Weight:** 69.3 kg
- **Body Mass Index (BMI):** 21.74 kg/m¬≤ (This is within a healthy range.)
- **Blood Pressure Panel:** Results are not provided, but it's important to follow up on this with your healthcare provider.
- **Pain Severity:** Reported as 2 on a scale of 0-10, indicating mild pain.
Other blood test results, such as hemoglobin, leukocytes, and platelets, appear to be within normal ranges, but it's best to discuss these with your healthcare provider for a comprehensive understanding.
If you have any specific concerns or questions about these results, or if you would like to discuss them further, please don‚Äôt hesitate to reach out to your healthcare provider. They can provide you with the most accurate interpretation and guidance based on your overall health context. Remember, you are not alone in this, and support is available.</t>
  </si>
  <si>
    <t>9cbd97ef-2209-9b1c-b6f7-a23a6c081740</t>
  </si>
  <si>
    <t>I understand that keeping track of your blood pressure readings is important for your health, and it can be concerning if you feel uncertain about your numbers. Unfortunately, I don't have access to your specific blood pressure readings over time. However, I recommend checking with your healthcare provider or the system where your readings are recorded. They can provide you with a detailed history of your blood pressure measurements. If you have been keeping a log or using a home monitor, reviewing that data can also be very helpful. If you have any other questions or need assistance with understanding your readings, please feel free to ask. Your health is important, and I'm here to help!</t>
  </si>
  <si>
    <t>1a9873c2-1d93-e9d6-4e36-77fdb07fbcb2</t>
  </si>
  <si>
    <t>What are my newest test results?</t>
  </si>
  <si>
    <t>The data for patient ID 1a9873c2-1d93-e9d6-4e36-77fdb07fbcb2 includes 77 rows, with several notable gaps in test results, particularly for the Diabetic retinopathy severity levels and various urine test parameters, which are marked as "‚Äî". Recent tests from July 2025 show intraocular pressure at 17 mm[Hg] for both eyes and a LogMAR visual acuity of 0.3 for each eye. Additionally, the patient has a total score of 1 on the AUDIT-C and PHQ-2 assessments, indicating low levels of alcohol use and depressive symptoms, respectively. There is a significant amount of missing data, particularly in the areas of fall risk assessment and urine analysis.</t>
  </si>
  <si>
    <t>I understand that waiting for test results can be a stressful experience, and I want to assure you that your health and well-being are important to us. Here are your most recent test results:
1. **Left Eye Intraocular Pressure**: 17 mmHg
2. **Right Eye Intraocular Pressure**: 17 mmHg
3. **LogMAR Visual Acuity (Left Eye)**: 0.3
4. **LogMAR Visual Acuity (Right Eye)**: 0.3
5. **Total Score [AUDIT-C]**: 1
6. **Patient Health Questionnaire 2 (PHQ-2) Total Score**: 1
7. **Fall Risk Total [Morse Fall Scale]**: 89
8. **Generalized Anxiety Disorder 7 (GAD-7) Total Score**: 7
9. **Hemoglobin A1c**: 3.6%
10. **Glucose in Blood**: 118.6 mg/dL
11. **Creatinine in Serum**: 1.8112 mg/dL
12. **Protein in Urine**: 344.37 mg/dL
Please note that some results may require further interpretation by your healthcare provider. If you have any questions or concerns about these results, or if you would like to discuss them in more detail, I encourage you to reach out to your healthcare team. They can provide you with the best guidance and support tailored to your individual health needs.</t>
  </si>
  <si>
    <t>e6705c33-7349-8b12-484d-3b1f93227178</t>
  </si>
  <si>
    <t>What medications am I currently taking?</t>
  </si>
  <si>
    <t>The table shows five medications prescribed to the patient with ID e6705c33-7349-8b12-484d-3b1f93227178, but only one medication, fluticasone propionate, has a specified dose. All other entries lack dosage, route, start and end dates, and refill information, indicating incomplete data. There is a notable absence of recent medication management details, as all fields are marked with "‚Äî" for four of the medications. The table appears truncated, showing only 5 rows.</t>
  </si>
  <si>
    <t>I understand that keeping track of your medications can sometimes feel overwhelming, and it's important to have clarity about what you're taking. Here‚Äôs a list of the medications you are currently prescribed:
1. **Fluticasone propionate (Flovent)** - 120 ACTUAT Metered Dose Inhaler
2. **Acetaminophen** - 325 MG Oral Tablet
3. **Albuterol** - 0.83 MG/ML Inhalation Solution
4. **Loratadine** - 5 MG Chewable Tablet
5. **Epinephrine** - 0.3 ML Auto-Injector (1 MG/ML)
If you have any questions about these medications, their purposes, or how to take them, please feel free to ask. It's important to feel comfortable and informed about your treatment plan.</t>
  </si>
  <si>
    <t>3f7873ab-0f61-be0c-9af8-f246eec6223a</t>
  </si>
  <si>
    <t>The table shows a single entry for patient ID 3f7873ab-0f61-be0c-9af8-f246eec6223a, indicating a body weight of 84.9 kg recorded on January 28, 2000. There are no additional vital signs or recent data points available, as the table is truncated and only one row is shown. This limits the ability to assess trends or changes in the patient's health over time.</t>
  </si>
  <si>
    <t>I understand that you're looking to know your maximum weight, and it's completely normal to have questions about your health and weight history. Based on the data I have, your maximum recorded weight is 84.9 kg, which was noted on January 28, 2000. If you have any further questions or if there's anything else you'd like to discuss regarding your weight or health, please feel free to ask. I'm here to help!</t>
  </si>
  <si>
    <t>The table shows medication records for patient ID 9cbd97ef-2209-9b1c-b6f7-a23a6c081740, listing six medications, all with a dose of 1.0 except for Amoxicillin/Clavulanate, which has unspecified dosing. Notably, all medications lack start and end dates, as well as refill information, indicating a potential gap in treatment tracking. The medications include various opioid formulations and an antibiotic, suggesting a focus on pain management and infection treatment. The table is truncated, showing only 6 rows.</t>
  </si>
  <si>
    <t>I understand that keeping track of your medications can sometimes feel overwhelming, and I'm here to help you with that. Based on your records, here are the medications you are currently taking:
1. **12 HR Hydrocodone Bitartrate 10 MG Extended Release Oral Capsule** - 1 capsule
2. **72 HR Fentanyl 0.025 MG/HR Transdermal System** - 1 patch
3. **Abuse-Deterrent 12 HR Oxycodone Hydrochloride 10 MG Extended Release Oral Tablet (Oxycontin)** - 1 tablet
4. **Acetaminophen 300 MG / Codeine Phosphate 15 MG Oral Tablet** - 1 tablet
5. **Amoxicillin 250 MG / Clavulanate 125 MG Oral Tablet** - dosage not specified
If you have any questions about these medications or if you need assistance with anything else, please feel free to ask. Your health and comfort are very important, and I'm here to support you.</t>
  </si>
  <si>
    <t>48f06a5e-0d20-3fe6-f5ea-b45bc79e90db</t>
  </si>
  <si>
    <t>How screwed up am I?</t>
  </si>
  <si>
    <t>The table shows 16 entries related to the patient's medical conditions and findings, with all but three entries marked as resolved. Notably, the most recent entries include findings from March 2023, indicating ongoing assessments related to education and stress, both of which remain active. There are future dates for conditions like acute viral pharyngitis and viral sinusitis, suggesting planned follow-ups. Gaps are present for the "resolved_at" dates for the findings related to education, stress, and not being in the labor force. The table appears to be truncated, as it does not provide a complete overview of the patient's medical history.</t>
  </si>
  <si>
    <t>I want to start by acknowledging how you're feeling right now. It‚Äôs completely understandable to feel overwhelmed or concerned about your health and experiences. It sounds like you‚Äôve been through quite a bit, and it‚Äôs okay to have these feelings.
Looking at your health history, I see that you have had several conditions, but many of them are resolved. This indicates that you have been able to overcome challenges in the past, which is a testament to your resilience. It‚Äôs also important to recognize that you currently have some active situations, such as stress and being not in the labor force, which can understandably contribute to how you‚Äôre feeling.
Here are some gentle next steps you might consider:
1. **Talk to Someone**: If you haven‚Äôt already, consider speaking with a healthcare professional or a counselor about how you‚Äôre feeling. They can provide support and help you navigate through your emotions.
2. **Self-Care**: Engage in activities that help you relax and recharge. This could be anything from reading, going for a walk, or practicing mindfulness.
3. **Stay Connected**: Reach out to friends or family members who can provide support. Sometimes just talking about what you‚Äôre going through can lighten the load.
4. **Monitor Your Health**: Keep track of any symptoms or feelings you have, and don‚Äôt hesitate to reach out to your healthcare provider if you have concerns.
Remember, you are not alone in this, and it‚Äôs okay to seek help. Your feelings are valid, and taking steps to address them is a positive move forward.</t>
  </si>
  <si>
    <t>74a4cdcf-7cc0-7658-e1e0-cd1182d5f205</t>
  </si>
  <si>
    <t>List all my vital signs</t>
  </si>
  <si>
    <t>The data for patient ID 74a4cdcf-7cc0-7658-e1e0-cd1182d5f205 shows a significant decline in body height and weight over time, with the most recent measurements on September 14, 2024, indicating a height of 119.9 cm and a weight of 22.4 kg. The body mass index (BMI) has also decreased slightly from 15.63 kg/m¬≤ on September 9, 2023, to 15.61 kg/m¬≤. Heart rate and respiratory rate values have fluctuated but remain within a typical range, with the latest heart rate recorded at 81 beats per minute. Notably, there are gaps in the data, particularly for certain vital signs over the years, and the table is truncated, showing only 79 rows.</t>
  </si>
  <si>
    <t>I understand that you would like to see a comprehensive list of your vital signs, and I‚Äôm here to help you with that. It‚Äôs important to keep track of these measurements as they can provide valuable insights into your health. Here‚Äôs a summary of your vital signs:
### Recent Vital Signs (as of September 14, 2024):
- **Body Height:** 119.9 cm
- **Body Weight:** 22.4 kg
- **Body Mass Index (BMI):** 15.61 kg/m¬≤
- **Heart Rate:** 81 beats per minute
- **Respiratory Rate:** 14 breaths per minute
### Previous Vital Signs:
1. **September 9, 2023:**
   - Body Height: 113.6 cm
   - Body Weight: 20.2 kg
   - BMI: 15.63 kg/m¬≤
   - Heart Rate: 84 bpm
   - Respiratory Rate: 15 breaths/min
2. **September 3, 2022:**
   - Body Height: 107.2 cm
   - Body Weight: 18.3 kg
   - BMI: 15.95 kg/m¬≤
   - Heart Rate: 61 bpm
   - Respiratory Rate: 15 breaths/min
3. **August 28, 2021:**
   - Body Height: 100.7 cm
   - Body Weight: 17.2 kg
   - BMI: 17 kg/m¬≤
   - Heart Rate: 89 bpm
   - Respiratory Rate: 14 breaths/min
4. **February 27, 2021:**
   - Body Height: 97.2 cm
   - Body Weight: 16.3 kg
   - BMI: 17.25 kg/m¬≤
   - Heart Rate: 69 bpm
   - Respiratory Rate: 14 breaths/min
5. **August 29, 2020:**
   - Body Height: 93.5 cm
   - Body Weight: 15.6 kg
   - BMI: 17.84 kg/m¬≤
   - Heart Rate: 64 bpm
   - Respiratory Rate: 15 breaths/min
This is just a selection of your vital signs over time. If you need more details or have specific questions about any of these measurements, please let me know. Your health is important, and I‚Äôm here to support you!</t>
  </si>
  <si>
    <t>006c29d1-d868-3a9e-ceab-31f23e398f45</t>
  </si>
  <si>
    <t>Show my vital signs history</t>
  </si>
  <si>
    <t>The data for patient 006c29d1-d868-3a9e-ceab-31f23e398f45 includes vital measurements from various dates, with the most recent entries dated April 16, 2025. Notably, the patient's Body Mass Index (BMI) increased from 29.06 kg/m¬≤ in June 2020 to 30.33 kg/m¬≤ in April 2025, indicating a trend towards overweight status. Heart rate values fluctuated, with a notable increase from 84 beats per minute in April 2025 compared to 92 and 98 beats per minute in earlier measurements. There are gaps in the data for certain vital signs, as indicated by the absence of values for some dates. The table shows 20 rows, suggesting it may be truncated.</t>
  </si>
  <si>
    <t>I understand that reviewing your vital signs history is an important step in taking charge of your health, and I commend you for being proactive about it. It‚Äôs completely normal to have questions or feelings about these numbers, and I want you to know that I‚Äôm here to support you through this process. Here‚Äôs a summary of your vital signs history:
- **Body Height**: 167.7 cm
- **Body Weight**: 85.3 kg (most recent measurement)
- **Body Mass Index (BMI)**: 30.33 kg/m¬≤ (most recent measurement)
- **Heart Rate**: 84 beats per minute (most recent measurement)
- **Respiratory Rate**: 13 breaths per minute (most recent measurement)
If you have any concerns or questions about these readings, or if there‚Äôs anything specific you‚Äôd like to discuss, please feel free to share. Your well-being is important, and I‚Äôm here to help you navigate any thoughts or feelings you may have about your health data.</t>
  </si>
  <si>
    <t>0c76b28e-5685-0754-12d1-b1a6b79866f7</t>
  </si>
  <si>
    <t>The data for patient ID 0c76b28e-5685-0754-12d1-b1a6b79866f7 includes 85 rows of vital signs, with the most recent measurements recorded on April 20, 2025. Notable trends include a decrease in Body Mass Index (BMI) from 30.39 kg/m¬≤ in June 2023 to 28.3 kg/m¬≤ in April 2025, alongside a reduction in body weight from 73.4 kg to 68.3 kg over the same period. Heart rate has fluctuated, with a notable decrease from 89 beats per minute in April 2024 to 74 in April 2025. There are gaps in the data for certain vital signs, particularly for respiratory rate, which has not been consistently recorded across all dates.</t>
  </si>
  <si>
    <t>I understand that you would like to see your vital signs history, and I appreciate your interest in keeping track of your health. It's important to stay informed about your vital signs, as they can provide valuable insights into your overall well-being.
Here is a summary of your vital signs history:
| Date and Time               | Vital Sign                     | Value   | Unit   |
|-----------------------------|-------------------------------|---------|--------|
| 2025-04-20 20:21:44         | Body Height                   | 155.4   | cm     |
| 2025-04-20 20:21:44         | Body Mass Index (BMI)         | 28.3    | kg/m¬≤  |
| 2025-04-20 20:21:44         | Body Weight                   | 68.3    | kg     |
| 2025-04-20 20:21:44         | Heart Rate                    | 74      | /min   |
| 2025-04-20 20:21:44         | Respiratory Rate              | 15      | /min   |
| 2024-04-14 20:21:44         | Body Height                   | 155.4   | cm     |
| 2024-04-14 20:21:44         | Body Mass Index (BMI)         | 29.03   | kg/m¬≤  |
| 2024-04-14 20:21:44         | Body Weight                   | 70.1    | kg     |
| 2024-04-14 20:21:44         | Heart Rate                    | 89      | /min   |
| 2024-04-14 20:21:44         | Respiratory Rate              | 14      | /min   |
| 2023-06-11 20:21:44         | Body Height                   | 155.4   | cm     |
| 2023-06-11 20:21:44         | Body Mass Index (BMI)         | 30.39   | kg/m¬≤  |
| 2023-06-11 20:21:44         | Body Weight                   | 73.4    | kg     |
| 2023-06-11 20:21:44         | Heart Rate                    | 86      | /min   |
| 2023-06-11 20:21:44         | Respiratory Rate              | 15      | /min   |
| ...                         | ...                           | ...     | ...    |
| 2016-02-28 20:21:44         | Respiratory Rate              | 13      | /min   |
This is just a portion of your vital signs history. If you would like to see more details or specific time frames, please let me know, and I can assist you further. Your health is important, and I'm here to help you with any questions or concerns you may have.</t>
  </si>
  <si>
    <t>43e4a5fe-add4-5581-d0ef-80764c313418</t>
  </si>
  <si>
    <t>List my active prescriptions</t>
  </si>
  <si>
    <t>The table shows medication data for patient ID 43e4a5fe-add4-5581-d0ef-80764c313418, including two medications: amLODIPine 2.5 MG and lisinopril 10 MG, both at a dose of 1.0. The route and timing details for these medications are not provided, as indicated by the "‚Äî" entries. There is also a third row with no medication data, suggesting a gap in the record. The table is truncated, showing only 3 rows.</t>
  </si>
  <si>
    <t>I understand that keeping track of your medications can be important for your health and well-being. Here are your active prescriptions:
1. **Amlodipine 2.5 MG Oral Tablet** - 1 tablet
2. **Lisinopril 10 MG Oral Tablet** - 1 tablet
If you have any questions about these medications or need further assistance, please feel free to ask. Your health is our priority, and I'm here to help!</t>
  </si>
  <si>
    <t>575cac8f-bed1-32da-30a6-3a516a78500d</t>
  </si>
  <si>
    <t>What are my vital signs</t>
  </si>
  <si>
    <t>I understand that you're looking for information about your vital signs, and it's completely normal to want to stay informed about your health. Vital signs typically include measurements like your heart rate, blood pressure, respiratory rate, and temperature. If you have access to your recent medical records or if you've had a recent check-up, those details should be available there. If you haven't had your vital signs checked recently, I recommend scheduling an appointment with your healthcare provider. They can provide you with the most accurate and up-to-date information. If you have any specific concerns or symptoms you're experiencing, please feel free to share, and I can help guide you further. Your health and well-being are important!</t>
  </si>
  <si>
    <t>faec5a04-6c56-4296-9fec-4e218e627a32</t>
  </si>
  <si>
    <t>I understand that keeping track of your blood pressure readings is important for your health, and it can be concerning if you feel unsure about your numbers. Unfortunately, I don't have access to your specific blood pressure readings over time. However, I recommend checking with your healthcare provider or accessing your medical records, as they can provide you with a detailed history of your readings. If you have been monitoring your blood pressure at home, it might be helpful to keep a log of those readings as well. If you have any specific concerns about your blood pressure or how to manage it, please feel free to share, and I can provide more information or guidance. Your health is important, and I'm here to help!</t>
  </si>
  <si>
    <t>b9bacf2f-7027-2e05-fa5b-19167071fdde</t>
  </si>
  <si>
    <t>The data shows a trend of fluctuating body weight for the patient over the years, with the most recent measurement on December 20, 2024, at 81 kg. Notably, there was a decrease from 84.5 kg in 2016 to 77.1 kg in 2022, followed by an increase back to 81 kg by the end of 2024. The table is truncated, showing only 11 rows of data. There are no entries for vital signs other than body weight, indicating a gap in the collection of other vital measurements.</t>
  </si>
  <si>
    <t>I understand that tracking your weight trend can be important for your health and well-being, and it‚Äôs great that you‚Äôre taking the time to look into it. Let‚Äôs take a look at your weight data over the years to see how it has changed.
Here‚Äôs a summary of your weight trend:
- **2024-12-20**: 81 kg
- **2023-12-15**: 79 kg
- **2022-12-09**: 77.1 kg
- **2021-12-03**: 84 kg
- **2020-11-27**: 83.1 kg
- **2020-10-25**: 83 kg
- **2019-11-22**: 81.4 kg
- **2018-11-16**: 79.7 kg
- **2017-11-10**: 78.1 kg
- **2016-11-04**: 84.5 kg
- **2015-10-30**: 83.1 kg
From this data, we can see that your weight has fluctuated over the years, with a noticeable decrease from 2021 to 2023, where you went from 84 kg down to 77.1 kg. However, there has been a slight increase in the last year, bringing you back up to 81 kg.
If you have any specific concerns or goals regarding your weight, or if you‚Äôd like to discuss strategies for maintaining or achieving your desired weight, please feel free to share. I'm here to help you with any next steps you might want to take!</t>
  </si>
  <si>
    <t>3270397c-dfa3-6cea-f2ec-be21ade6c52c</t>
  </si>
  <si>
    <t>The data for patient ID 3270397c-dfa3-6cea-f2ec-be21ade6c52c shows vital measurements taken on three occasions: April 6, 2023; April 2, 2020; and March 30, 2017. Notably, the patient's Body Weight increased from 76.6 kg in 2017 to 86 kg in 2023, while the Body Mass Index (BMI) rose from 24.69 kg/m¬≤ to 27.73 kg/m¬≤ over the same period, indicating a trend towards overweight status. Heart rate decreased from 100 beats per minute in 2020 to 70 in 2023, suggesting improved cardiovascular health. There are gaps in the data for some vital signs, such as blood pressure and temperature, which are not recorded. The table shows 15 rows, indicating it is not truncated.</t>
  </si>
  <si>
    <t>I understand that you‚Äôre looking for your vital signs history, and it‚Äôs completely normal to want to keep track of your health data. Here‚Äôs a summary of your vital signs over the years:
### Vital Signs History
| Date &amp; Time (UTC)          | Vital Name                     | Value   | Unit   |
|----------------------------|--------------------------------|---------|--------|
| 2023-04-06 03:02:20        | Body Height                    | 176.1   | cm     |
| 2023-04-06 03:02:20        | Body Mass Index (BMI)         | 27.73   | kg/m¬≤  |
| 2023-04-06 03:02:20        | Body Weight                    | 86      | kg     |
| 2023-04-06 03:02:20        | Heart Rate                     | 70      | /min   |
| 2023-04-06 03:02:20        | Respiratory Rate               | 12      | /min   |
| 2020-04-02 03:02:20        | Body Height                    | 176.1   | cm     |
| 2020-04-02 03:02:20        | Body Mass Index (BMI)         | 26.18   | kg/m¬≤  |
| 2020-04-02 03:02:20        | Body Weight                    | 81.2    | kg     |
| 2020-04-02 03:02:20        | Heart Rate                     | 100     | /min   |
| 2020-04-02 03:02:20        | Respiratory Rate               | 14      | /min   |
| 2017-03-30 03:02:20        | Body Height                    | 176.1   | cm     |
| 2017-03-30 03:02:20        | Body Mass Index (BMI)         | 24.69   | kg/m¬≤  |
| 2017-03-30 03:02:20        | Body Weight                    | 76.6    | kg     |
| 2017-03-30 03:02:20        | Heart Rate                     | 90      | /min   |
| 2017-03-30 03:02:20        | Respiratory Rate               | 14      | /min   |
If you have any questions about these readings or if you‚Äôd like to discuss any specific concerns regarding your health, please feel free to reach out. Your health is important, and I‚Äôm here to help!</t>
  </si>
  <si>
    <t>3c763653-7fd3-af8a-e65f-79d5bde98d3a</t>
  </si>
  <si>
    <t>The data for patient ID 3c763653-7fd3-af8a-e65f-79d5bde98d3a includes 33 rows of test results, with the most recent entries dated May 9, 2025. Notable scores include a Total AUDIT-C score of 2 and a PHQ-2 score of 2, indicating potential concerns in alcohol use and depression. There are several fields marked as "‚Äî", indicating missing data for tests such as the PRAPARE protocol and tobacco smoking status. The table appears to be truncated, as it does not include all historical data for this patient.</t>
  </si>
  <si>
    <t>I understand that waiting for test results can be a source of anxiety and uncertainty, and I want to acknowledge how you might be feeling right now. It's completely normal to seek clarity during this time.</t>
  </si>
  <si>
    <t>Here are your latest test results:</t>
  </si>
  <si>
    <t>1. **AUDIT-C Total Score**: 2</t>
  </si>
  <si>
    <t>2. **PHQ-2 Total Score**: 2</t>
  </si>
  <si>
    <t>3. **HARK Total Score**: 0</t>
  </si>
  <si>
    <t>4. **GAD-7 Total Score**: 2</t>
  </si>
  <si>
    <t>5. **Body Height**: 161 cm</t>
  </si>
  <si>
    <t>6. **Body Mass Index (BMI)**: 30.36 kg/m¬≤</t>
  </si>
  <si>
    <t>7. **Body Weight**: 78.7 kg</t>
  </si>
  <si>
    <t>8. **Heart Rate**: 89 beats/min</t>
  </si>
  <si>
    <t>9. **Pain Severity**: 1 (on a scale of 0-10)</t>
  </si>
  <si>
    <t>10. **Respiratory Rate**: 12 breaths/min</t>
  </si>
  <si>
    <t>11. **Cholesterol Levels**: </t>
  </si>
  <si>
    <t>    - HDL: 51.86 mg/dL</t>
  </si>
  <si>
    <t>    - Total Cholesterol: 164.31 mg/dL</t>
  </si>
  <si>
    <t>    - LDL: 85.24 mg/dL</t>
  </si>
  <si>
    <t>    - Triglycerides: 136.04 mg/dL</t>
  </si>
  <si>
    <t>Your scores indicate a low level of risk in the areas assessed, particularly with the HARK score being 0, which is a positive sign. However, it‚Äôs important to discuss these results with your healthcare provider to understand their implications fully and to determine any necessary next steps.</t>
  </si>
  <si>
    <t>If you have any specific questions or concerns about these results, please feel free to share, and I‚Äôll do my best to assist you further. Remember, you are not alone in this, and support is available.</t>
  </si>
  <si>
    <t>349720c1-0627-e77a-1619-bb11b1530e96</t>
  </si>
  <si>
    <t>Show my BMI trend</t>
  </si>
  <si>
    <t>The data shows a trend of increasing Body Mass Index (BMI) values over time for the patient, starting from a low of 15.27 kg/m¬≤ in June 2016 to a recent high of 18.52 kg/m¬≤ in August 2025. Notably, there are consistent increases in BMI from 2016 to 2025, with the most significant jumps occurring between 2020 and 2024. The table is truncated, showing only 11 rows of data. There are no gaps in the recorded BMI values, but the effective dates indicate a lack of data for the years 2026 and beyond.</t>
  </si>
  <si>
    <t>I understand that tracking your BMI trend can be important for your health and well-being, and I appreciate you reaching out for this information. It‚Äôs great that you‚Äôre taking an active interest in your health.</t>
  </si>
  <si>
    <t>Here‚Äôs a summary of your BMI trend over the years:</t>
  </si>
  <si>
    <t>- **2025-08-04**: 18.52 kg/m¬≤</t>
  </si>
  <si>
    <t>- **2024-08-12**: 17.72 kg/m¬≤</t>
  </si>
  <si>
    <t>- **2024-07-29**: 17.72 kg/m¬≤</t>
  </si>
  <si>
    <t>- **2023-07-24**: 17.44 kg/m¬≤</t>
  </si>
  <si>
    <t>- **2022-07-18**: 18.44 kg/m¬≤</t>
  </si>
  <si>
    <t>- **2021-07-12**: 17.47 kg/m¬≤</t>
  </si>
  <si>
    <t>- **2020-07-06**: 16.56 kg/m¬≤</t>
  </si>
  <si>
    <t>- **2019-07-01**: 16.43 kg/m¬≤</t>
  </si>
  <si>
    <t>- **2018-06-25**: 15.94 kg/m¬≤</t>
  </si>
  <si>
    <t>- **2017-06-19**: 15.62 kg/m¬≤</t>
  </si>
  <si>
    <t>- **2016-06-13**: 15.27 kg/m¬≤</t>
  </si>
  <si>
    <t>From this data, we can see that your BMI has generally increased over the years, with a notable rise from 15.27 kg/m¬≤ in 2016 to 18.52 kg/m¬≤ in 2025. If you have any concerns about these changes or if you would like to discuss your health goals, please feel free to share. I'm here to help you with any next steps or questions you may have!</t>
  </si>
  <si>
    <t>0851b7fb-87a8-3edc-1e11-8dcb03824dde</t>
  </si>
  <si>
    <t>The table shows medication records for patient ID 0851b7fb-87a8-3edc-1e11-8dcb03824dde, with a total of 6 rows displayed. Notably, all medications except Simvastatin 10 MG Oral Tablet have missing values for dose, route, start and end dates, and refills, indicating a lack of detailed information. The only medication with a specified dose is Simvastatin at 1.0, but the route and other details remain unspecified. There are no recent entries or trends evident due to the absence of dates and refill information. The table appears truncated, as it does not provide a complete overview of the patient's medication history.</t>
  </si>
  <si>
    <t>I understand that keeping track of your medications can sometimes feel overwhelming, and I'm here to help you with that. Based on your records, here are the medications you are currently taking:</t>
  </si>
  <si>
    <t>1. **Camila 28 Day Pack**</t>
  </si>
  <si>
    <t>2. **Ibuprofen 400 MG Oral Tablet**</t>
  </si>
  <si>
    <t>3. **Jolivette 28 Day Pack**</t>
  </si>
  <si>
    <t>4. **Naproxen sodium 220 MG Oral Tablet**</t>
  </si>
  <si>
    <t>5. **Simvastatin 10 MG Oral Tablet (1 tablet daily)**</t>
  </si>
  <si>
    <t>If you have any questions about these medications or if you need assistance with anything else, please feel free to ask. Your health and well-being are important, and I'm here to support you.</t>
  </si>
  <si>
    <t>782ada1b-32a4-888a-8812-d8de70d6e5d0</t>
  </si>
  <si>
    <t>What has been my highest weight</t>
  </si>
  <si>
    <t>The table shows a single entry for patient ID 782ada1b-32a4-888a-8812-d8de70d6e5d0, recording a body weight of 95 kg on May 19, 2021. There are no additional vital signs or recent data points available, indicating a gap in the patient's vital records. The data is limited to one row, suggesting a need for more comprehensive monitoring.</t>
  </si>
  <si>
    <t>I understand that you may be feeling concerned or curious about your weight history, and it's completely normal to want to keep track of these changes. Based on your records, your highest recorded weight was 95 kg on May 19, 2021. If you have any specific goals or concerns regarding your weight, please feel free to share, and I can help guide you on the next steps or resources that may be beneficial for you. Your health and well-being are important, and I'm here to support you.</t>
  </si>
  <si>
    <t>103b63c9-9ef8-6d25-771e-2fba661489a1</t>
  </si>
  <si>
    <t>I understand that keeping track of your blood pressure readings is important for your health, and it can be concerning if you feel unsure about your numbers. Unfortunately, I don't have access to your specific blood pressure readings over time. However, I recommend checking with your healthcare provider or the system where your readings are recorded. They should be able to provide you with a detailed history of your blood pressure measurements. If you have been keeping a log or using a home monitor, reviewing that data can also be very helpful. If you have any other questions or need assistance with understanding your readings, please feel free to ask. Your health is important, and I'm here to help!</t>
  </si>
  <si>
    <t>77dfae18-8c8c-0ec2-050c-dd93f3ea1cc2</t>
  </si>
  <si>
    <t>The data for patient ID 77dfae18-8c8c-0ec2-050c-dd93f3ea1cc2 includes 28 rows of test results, with the most recent entries dated May 15, 2025. Notably, the patient has low scores on the PHQ-2 (2) and GAD-7 (0), indicating minimal reported depression and anxiety. There are several fields marked as "‚Äî", including the PRAPARE protocol and blood pressure panel, suggesting incomplete data in these areas. Additionally, the patient's body temperature was recorded at 39.335¬∞C on May 7, 2025, which may indicate a recent fever. The table appears truncated, as it does not include all historical data for this patient.</t>
  </si>
  <si>
    <t>I understand that waiting for test results can be a stressful experience, and it's completely normal to feel anxious about it. I‚Äôm here to help you with the information you need.</t>
  </si>
  <si>
    <t>Your latest test results include several assessments, and here are some key highlights:</t>
  </si>
  <si>
    <t>1. **Patient Health Questionnaire 2 (PHQ-2)**: Your score is 2, which may indicate mild depressive symptoms.</t>
  </si>
  <si>
    <t>2. **Generalized Anxiety Disorder 7 (GAD-7)**: Your score is 0, suggesting that you are currently experiencing minimal anxiety.</t>
  </si>
  <si>
    <t>3. **Pain Severity**: You reported a pain score of 2, indicating low pain levels.</t>
  </si>
  <si>
    <t>Other tests, such as your blood pressure, body mass index (BMI), and various blood counts, are also part of your results, but specific values for those tests are not provided in this snapshot.</t>
  </si>
  <si>
    <t>If you have any specific concerns about these results or if you would like to discuss them further, please feel free to reach out. It‚Äôs important to talk about how you‚Äôre feeling and any questions you may have. Your health and well-being are our top priority.</t>
  </si>
  <si>
    <t>7cad1f7c-cf61-fd24-254f-d02265160c0a</t>
  </si>
  <si>
    <t>The table shows medication records for patient ID 7cad1f7c-cf61-fd24-254f-d02265160c0a, with a total of 9 entries. Notably, all medications except Simvastatin have missing values for dose, route, start and end dates, and refills, indicating a lack of detailed information. Simvastatin is the only medication with a specified dose of 1.0 MG, while the other entries include various medications such as Acetaminophen and budesonide. The data appears truncated, as there are 9 rows shown, and significant gaps in medication details are present.</t>
  </si>
  <si>
    <t>I understand that keeping track of your medications can be overwhelming at times, and I'm here to help you with that. Here‚Äôs a list of your active prescriptions:</t>
  </si>
  <si>
    <t>1. **168 HR Ethinyl Estradiol 0.00146 MG/HR / Norelgestromin 0.00625 MG/HR Transdermal System**</t>
  </si>
  <si>
    <t>2. **Acetaminophen 325 MG Oral Tablet**</t>
  </si>
  <si>
    <t>3. **Budesonide 0.125 MG/ML Inhalation Suspension**</t>
  </si>
  <si>
    <t>4. **Camila 28 Day Pack**</t>
  </si>
  <si>
    <t>5. **Errin 28 Day Pack**</t>
  </si>
  <si>
    <t>6. **Naproxen Sodium 220 MG Oral Tablet**</t>
  </si>
  <si>
    <t>7. **Albuterol 0.09 MG/ACTUAT Metered Dose Inhaler (Ventolin)**</t>
  </si>
  <si>
    <t>8. **Simvastatin 10 MG Oral Tablet**</t>
  </si>
  <si>
    <t>If you have any questions about these medications or need assistance with anything else, please feel free to ask. Your health and comfort are very important to us.</t>
  </si>
  <si>
    <t>b427e4ea-3a48-207a-bf7d-710f0b574091</t>
  </si>
  <si>
    <t>The table shows a single entry for patient ID b427e4ea-3a48-207a-bf7d-710f0b574091, indicating a body weight of 23 kg recorded on April 14, 2025. There are no additional vital signs or historical data provided, which limits the ability to assess trends or changes in the patient's health status. The data appears to be truncated, as only one row is shown.</t>
  </si>
  <si>
    <t>I understand that you‚Äôre looking to find out your highest weight, and I can see that this is important to you. Based on the data available, your highest recorded weight is 23 kg, which was noted on April 14, 2025. If you have any further questions or need assistance with anything else, please feel free to ask. Your health and well-being are important, and I'm here to help you.</t>
  </si>
  <si>
    <t>The data shows a trend of increasing Body Mass Index (BMI) values for the patient over the years, starting from 30.11 kg/m¬≤ in 2016 and reaching 30.11 kg/m¬≤ again in 2022, before rising to 29.9 kg/m¬≤ in 2024 and 27.98 kg/m¬≤ in 2025. Notably, the most recent measurement in July 2025 indicates a decrease in BMI, suggesting a potential improvement in the patient's weight status. The table is truncated, showing only 10 rows of data.</t>
  </si>
  <si>
    <t>I understand that tracking your BMI trend can be important for your health and wellness journey. It can sometimes feel overwhelming to see changes in these numbers, but it's great that you're taking the time to monitor them.</t>
  </si>
  <si>
    <t>- **2016**: 30.11 kg/m¬≤</t>
  </si>
  <si>
    <t>- **2017**: 30.11 kg/m¬≤</t>
  </si>
  <si>
    <t>- **2018**: 30.11 kg/m¬≤</t>
  </si>
  <si>
    <t>- **2019**: 30.11 kg/m¬≤</t>
  </si>
  <si>
    <t>- **2020**: 30.11 kg/m¬≤</t>
  </si>
  <si>
    <t>- **2021**: 30.11 kg/m¬≤</t>
  </si>
  <si>
    <t>- **2022**: 30.11 kg/m¬≤</t>
  </si>
  <si>
    <t>- **2023**: 30.11 kg/m¬≤</t>
  </si>
  <si>
    <t>- **2024**: 29.9 kg/m¬≤</t>
  </si>
  <si>
    <t>- **2025**: 27.98 kg/m¬≤</t>
  </si>
  <si>
    <t>From this data, we can see that your BMI has remained stable at 30.11 kg/m¬≤ for several years, but there has been a positive trend in the last couple of years, with a decrease to 29.9 kg/m¬≤ in 2024 and further down to 27.98 kg/m¬≤ in 2025. This indicates progress, and it's wonderful to see that change!</t>
  </si>
  <si>
    <t>If you have any specific goals or concerns regarding your BMI or overall health, please feel free to share. I'm here to help you with any next steps or resources you might need!</t>
  </si>
  <si>
    <t>37895f0e-877f-7ea7-aa1b-0b69fcd11385</t>
  </si>
  <si>
    <t>I understand that you‚Äôre looking for information about your vital signs, and it‚Äôs completely normal to want to stay informed about your health. However, I don‚Äôt have access to your specific vital sign data at the moment. Vital signs typically include your heart rate, blood pressure, respiratory rate, and temperature. If you have access to a recent health report or if you‚Äôve had a recent check-up, you might find this information there. If you‚Äôre concerned about your vital signs or if you have any specific symptoms, I recommend reaching out to your healthcare provider. They can provide you with the most accurate and personalized information. Please let me know if there‚Äôs anything else I can assist you with!</t>
  </si>
  <si>
    <t>What is my earliest vital sign</t>
  </si>
  <si>
    <t>The data for patient ID 43e4a5fe-add4-5581-d0ef-80764c313418 includes 29 rows of vital measurements, with the most recent entries dated April 18, 2024. Notably, there are gaps in the data for tobacco smoking status, blood pressure panel, and the PRAPARE protocol, which are marked as "‚Äî". The patient has a total cholesterol level of 146.04 mg/dL and a body mass index (BMI) of 26.56 kg/m¬≤, indicating potential areas for health monitoring. The data appears to be truncated, as it does not cover all possible vital measurements for this patient.</t>
  </si>
  <si>
    <t>I understand that you're looking for information about your earliest vital sign, and I appreciate your patience as we gather this information. The earliest vital signs recorded for you were on June 14, 2018. Here are the details: - **Heart Rate:** 75 beats per minute - **Respiratory Rate:** 15 breaths per minute. If you have any further questions or need more information about your health, please feel free to ask. I'm here to help!</t>
  </si>
  <si>
    <t>c3dae8db-25ee-c40b-c605-600fad411d34</t>
  </si>
  <si>
    <t>The data shows a trend of increasing body weight for the patient over time, with the most recent measurement on December 19, 2023, at 89.2 kg, which is consistent with a previous measurement from June 13, 2023. The patient's weight has risen from 79.3 kg in June 2017 to 89.2 kg in December 2023, indicating a significant increase over the years. Notably, there are no entries for the years 2018, 2019, 2020, and 2021, suggesting potential gaps in monitoring during that period. The table is truncated, showing only 5 rows of data.</t>
  </si>
  <si>
    <t>I understand that tracking your weight trend can be important for your health and well-being, and I appreciate you reaching out about this. Let's take a look at your weight data over the years to see how it has changed.</t>
  </si>
  <si>
    <t>Here‚Äôs a summary of your weight trend:</t>
  </si>
  <si>
    <t>- **2017-06-06**: 79.3 kg</t>
  </si>
  <si>
    <t>- **2020-06-09**: 84.2 kg</t>
  </si>
  <si>
    <t>- **2022-01-18**: 85.6 kg</t>
  </si>
  <si>
    <t>- **2023-06-13**: 89.2 kg</t>
  </si>
  <si>
    <t>- **2023-12-19**: 89.2 kg</t>
  </si>
  <si>
    <t>From this data, we can see that your weight has gradually increased from 79.3 kg in 2017 to 89.2 kg in 2023. It appears that your weight has stabilized at 89.2 kg over the last six months.</t>
  </si>
  <si>
    <t>If you have any specific goals or concerns regarding your weight, or if you would like to discuss strategies for managing your weight, please let me know. I'm here to help you with any next steps you might want to take!</t>
  </si>
  <si>
    <t>5c68f376-dd2c-1133-a9cf-f023a5d99078</t>
  </si>
  <si>
    <t>The data shows a significant upward trend in body weight for the patient, increasing from 3.7 kg in December 2017 to 29.7 kg in December 2024. Notably, the most recent measurement (29.7 kg) is the highest recorded, indicating a substantial gain over the years. There are no gaps in the body weight data, but the values are exclusively for body weight, with no other vital signs recorded. The table is truncated, showing 17 rows of data.</t>
  </si>
  <si>
    <t>I understand that tracking your weight trend can be an important part of your health journey, and it‚Äôs completely normal to have questions about it. Let‚Äôs take a look at the data you‚Äôve provided.</t>
  </si>
  <si>
    <t>From your records, it appears that your weight has shown a significant increase over the past few years. Here‚Äôs a summary of your weight trend:</t>
  </si>
  <si>
    <t>- **2017**: 3.7 kg</t>
  </si>
  <si>
    <t>- **2018**: 4.5 kg to 8.2 kg</t>
  </si>
  <si>
    <t>- **2019**: 9.2 kg to 10.7 kg</t>
  </si>
  <si>
    <t>- **2020**: 12.7 kg to 13.9 kg</t>
  </si>
  <si>
    <t>- **2021**: 15.8 kg to 17.6 kg</t>
  </si>
  <si>
    <t>- **2022**: 19.8 kg</t>
  </si>
  <si>
    <t>- **2023**: 24.8 kg</t>
  </si>
  <si>
    <t>- **2024**: 29.7 kg</t>
  </si>
  <si>
    <t>This shows a gradual increase over the years, with a more noticeable rise in the last couple of years. It‚Äôs important to consider various factors that can influence weight, including lifestyle changes, diet, physical activity, and overall health.</t>
  </si>
  <si>
    <t>If you have any specific concerns or if you‚Äôre looking for guidance on how to manage your weight moving forward, please feel free to share. I‚Äôm here to help you with any next steps or resources you might need. Your health and well-being are what matter most.</t>
  </si>
  <si>
    <t>List all the medical problems on my record.</t>
  </si>
  <si>
    <t>The table shows 17 rows of patient data, with a mix of resolved and active conditions. Notably, there are 7 active conditions, including chronic neck pain, chronic low back pain, and stress, which have not been resolved. Recent entries from June 2023 indicate ongoing issues with part-time employment, social isolation, and reports of violence in the environment. There are several fields marked with "‚Äî," indicating gaps in resolution dates for active conditions, which may require further attention.</t>
  </si>
  <si>
    <t>I understand that you may be feeling a bit overwhelmed or concerned about your health records, and I'm here to help you with that. It's important to have a clear understanding of your medical history, so let‚Äôs go through the active conditions currently noted in your record:</t>
  </si>
  <si>
    <t>1. **Chronic neck pain** (active)</t>
  </si>
  <si>
    <t>2. **Part-time employment** (active)</t>
  </si>
  <si>
    <t>3. **Chronic low back pain** (active)</t>
  </si>
  <si>
    <t>4. **Social isolation** (active)</t>
  </si>
  <si>
    <t>5. **Reports of violence in the environment** (active)</t>
  </si>
  <si>
    <t>6. **Educated to high school level** (active)</t>
  </si>
  <si>
    <t>7. **Stress** (active)</t>
  </si>
  <si>
    <t>8. **Chronic pain** (active)</t>
  </si>
  <si>
    <t>The following conditions have been resolved and are no longer active:</t>
  </si>
  <si>
    <t>- Full-time employment</t>
  </si>
  <si>
    <t>If you have any questions about these conditions or if you would like to discuss any specific concerns, please feel free to reach out. Your health and well-being are very important, and I'm here to support you.</t>
  </si>
  <si>
    <t>Scoring Category</t>
  </si>
  <si>
    <t>Score</t>
  </si>
  <si>
    <t>R</t>
  </si>
  <si>
    <t>F</t>
  </si>
  <si>
    <t>H</t>
  </si>
  <si>
    <t>HNOR</t>
  </si>
  <si>
    <t>HNOF</t>
  </si>
  <si>
    <t>HNOH</t>
  </si>
  <si>
    <t>HOR</t>
  </si>
  <si>
    <t>HOF</t>
  </si>
  <si>
    <t>HOH</t>
  </si>
  <si>
    <t>nonopt_empathy_score</t>
  </si>
  <si>
    <t>opt_empathy_score</t>
  </si>
  <si>
    <t xml:space="preserve">Empathy </t>
  </si>
  <si>
    <t>Relevance</t>
  </si>
  <si>
    <t>Response Evaluation</t>
  </si>
  <si>
    <t>Faithfulness</t>
  </si>
  <si>
    <t>Helpfulness</t>
  </si>
  <si>
    <t>Non Optimized Response</t>
  </si>
  <si>
    <t>Optimized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</si>
</sst>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4"/>
      <color theme="1"/>
      <name val="Calibri"/>
      <family val="2"/>
      <scheme val="minor"/>
    </font>
    <font>
      <sz val="16"/>
      <color theme="1"/>
      <name val="Calibri"/>
      <family val="2"/>
      <scheme val="minor"/>
    </font>
    <font>
      <sz val="20"/>
      <color theme="1"/>
      <name val="Calibri"/>
      <family val="2"/>
      <scheme val="minor"/>
    </font>
    <font>
      <sz val="22"/>
      <color theme="1"/>
      <name val="Calibri"/>
      <family val="2"/>
      <scheme val="minor"/>
    </font>
    <font>
      <sz val="28"/>
      <color theme="1"/>
      <name val="Calibri"/>
      <family val="2"/>
      <scheme val="minor"/>
    </font>
    <font>
      <sz val="36"/>
      <color theme="1"/>
      <name val="Calibri"/>
      <family val="2"/>
      <scheme val="minor"/>
    </font>
    <font>
      <b/>
      <sz val="20"/>
      <color theme="1"/>
      <name val="Calibri"/>
      <family val="2"/>
      <scheme val="minor"/>
    </font>
    <font>
      <sz val="20"/>
      <color theme="0"/>
      <name val="Calibri"/>
      <family val="2"/>
      <scheme val="minor"/>
    </font>
    <font>
      <sz val="28"/>
      <color theme="0"/>
      <name val="Calibri"/>
      <family val="2"/>
      <scheme val="minor"/>
    </font>
    <font>
      <sz val="8"/>
      <name val="Calibri"/>
      <family val="2"/>
      <scheme val="minor"/>
    </font>
    <font>
      <sz val="26"/>
      <color theme="0"/>
      <name val="Calibri"/>
      <family val="2"/>
      <scheme val="minor"/>
    </font>
    <font>
      <sz val="16"/>
      <color theme="0"/>
      <name val="Calibri"/>
      <family val="2"/>
      <scheme val="minor"/>
    </font>
    <font>
      <sz val="14"/>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0.499984740745262"/>
        <bgColor indexed="64"/>
      </patternFill>
    </fill>
    <fill>
      <patternFill patternType="solid">
        <fgColor rgb="FF00B050"/>
        <bgColor indexed="64"/>
      </patternFill>
    </fill>
    <fill>
      <patternFill patternType="solid">
        <fgColor rgb="FF0070C0"/>
        <bgColor indexed="64"/>
      </patternFill>
    </fill>
    <fill>
      <patternFill patternType="solid">
        <fgColor theme="8" tint="0.59999389629810485"/>
        <bgColor theme="8" tint="0.59999389629810485"/>
      </patternFill>
    </fill>
    <fill>
      <patternFill patternType="solid">
        <fgColor theme="8" tint="0.79998168889431442"/>
        <bgColor theme="8" tint="0.79998168889431442"/>
      </patternFill>
    </fill>
    <fill>
      <patternFill patternType="solid">
        <fgColor theme="1"/>
        <bgColor theme="5"/>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double">
        <color theme="1"/>
      </top>
      <bottom/>
      <diagonal/>
    </border>
    <border>
      <left/>
      <right style="medium">
        <color indexed="64"/>
      </right>
      <top style="double">
        <color theme="1"/>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0" fontId="0" fillId="0" borderId="0" xfId="0" applyAlignment="1">
      <alignment vertical="top" wrapText="1"/>
    </xf>
    <xf numFmtId="11" fontId="0" fillId="0" borderId="0" xfId="0" applyNumberForma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xf>
    <xf numFmtId="0" fontId="20" fillId="0" borderId="0" xfId="0" applyFont="1" applyAlignment="1">
      <alignment horizontal="center" vertical="top" wrapText="1"/>
    </xf>
    <xf numFmtId="0" fontId="20" fillId="0" borderId="0" xfId="0" applyFont="1" applyAlignment="1">
      <alignment horizontal="center"/>
    </xf>
    <xf numFmtId="0" fontId="20" fillId="33" borderId="0" xfId="0" applyFont="1" applyFill="1" applyAlignment="1">
      <alignment horizontal="center" vertical="top" textRotation="90" wrapText="1"/>
    </xf>
    <xf numFmtId="0" fontId="20" fillId="34" borderId="0" xfId="0" applyFont="1" applyFill="1" applyAlignment="1">
      <alignment horizontal="center" vertical="top" textRotation="90" wrapText="1"/>
    </xf>
    <xf numFmtId="0" fontId="20" fillId="35" borderId="0" xfId="0" applyFont="1" applyFill="1" applyAlignment="1">
      <alignment horizontal="center" vertical="top" textRotation="90" wrapText="1"/>
    </xf>
    <xf numFmtId="0" fontId="21" fillId="0" borderId="0" xfId="0" applyFont="1" applyAlignment="1">
      <alignment vertical="top" wrapText="1"/>
    </xf>
    <xf numFmtId="0" fontId="21" fillId="0" borderId="0" xfId="0" applyFont="1"/>
    <xf numFmtId="0" fontId="18" fillId="0" borderId="0" xfId="0" applyFont="1"/>
    <xf numFmtId="0" fontId="22" fillId="36" borderId="10" xfId="0" applyFont="1" applyFill="1" applyBorder="1" applyAlignment="1">
      <alignment horizontal="center" vertical="top" wrapText="1"/>
    </xf>
    <xf numFmtId="0" fontId="22" fillId="36" borderId="11" xfId="0" applyFont="1" applyFill="1" applyBorder="1" applyAlignment="1">
      <alignment horizontal="center" vertical="top" wrapText="1"/>
    </xf>
    <xf numFmtId="0" fontId="22" fillId="36" borderId="12" xfId="0" applyFont="1" applyFill="1" applyBorder="1" applyAlignment="1">
      <alignment horizontal="center" vertical="top" wrapText="1"/>
    </xf>
    <xf numFmtId="0" fontId="22" fillId="0" borderId="13" xfId="0" applyFont="1" applyBorder="1" applyAlignment="1">
      <alignment horizontal="center" vertical="top" wrapText="1"/>
    </xf>
    <xf numFmtId="0" fontId="22" fillId="0" borderId="0" xfId="0" applyFont="1" applyAlignment="1">
      <alignment horizontal="center" vertical="top" wrapText="1"/>
    </xf>
    <xf numFmtId="0" fontId="22" fillId="0" borderId="14" xfId="0" applyFont="1" applyBorder="1" applyAlignment="1">
      <alignment horizontal="center" vertical="top" wrapText="1"/>
    </xf>
    <xf numFmtId="0" fontId="22" fillId="0" borderId="15" xfId="0" applyFont="1" applyBorder="1" applyAlignment="1">
      <alignment horizontal="center" vertical="top" wrapText="1"/>
    </xf>
    <xf numFmtId="0" fontId="22" fillId="0" borderId="16" xfId="0" applyFont="1" applyBorder="1" applyAlignment="1">
      <alignment horizontal="center" vertical="top" wrapText="1"/>
    </xf>
    <xf numFmtId="0" fontId="22" fillId="0" borderId="17" xfId="0" applyFont="1" applyBorder="1" applyAlignment="1">
      <alignment horizontal="center" vertical="top" wrapText="1"/>
    </xf>
    <xf numFmtId="0" fontId="22" fillId="0" borderId="0" xfId="0" applyFont="1" applyAlignment="1">
      <alignment horizontal="center"/>
    </xf>
    <xf numFmtId="0" fontId="26" fillId="33" borderId="10" xfId="0" applyFont="1" applyFill="1" applyBorder="1" applyAlignment="1">
      <alignment horizontal="center" vertical="top" wrapText="1"/>
    </xf>
    <xf numFmtId="0" fontId="26" fillId="33" borderId="11" xfId="0" applyFont="1" applyFill="1" applyBorder="1" applyAlignment="1">
      <alignment horizontal="center" vertical="top" wrapText="1"/>
    </xf>
    <xf numFmtId="0" fontId="25" fillId="33" borderId="0" xfId="0" applyFont="1" applyFill="1" applyAlignment="1">
      <alignment horizontal="center" vertical="top" textRotation="90" wrapText="1"/>
    </xf>
    <xf numFmtId="0" fontId="28" fillId="39" borderId="10" xfId="0" applyFont="1" applyFill="1" applyBorder="1" applyAlignment="1">
      <alignment horizontal="center"/>
    </xf>
    <xf numFmtId="0" fontId="28" fillId="39" borderId="12" xfId="0" applyFont="1" applyFill="1" applyBorder="1" applyAlignment="1">
      <alignment horizontal="center"/>
    </xf>
    <xf numFmtId="0" fontId="25" fillId="35" borderId="13" xfId="0" applyFont="1" applyFill="1" applyBorder="1" applyAlignment="1">
      <alignment horizontal="center" vertical="top" wrapText="1"/>
    </xf>
    <xf numFmtId="2" fontId="24" fillId="38" borderId="18" xfId="0" applyNumberFormat="1" applyFont="1" applyFill="1" applyBorder="1" applyAlignment="1">
      <alignment horizontal="center" vertical="top" wrapText="1"/>
    </xf>
    <xf numFmtId="0" fontId="25" fillId="34" borderId="13" xfId="0" applyFont="1" applyFill="1" applyBorder="1" applyAlignment="1">
      <alignment horizontal="center" vertical="top" wrapText="1"/>
    </xf>
    <xf numFmtId="0" fontId="25" fillId="33" borderId="13" xfId="0" applyFont="1" applyFill="1" applyBorder="1" applyAlignment="1">
      <alignment horizontal="center" vertical="top" wrapText="1"/>
    </xf>
    <xf numFmtId="0" fontId="25" fillId="33" borderId="15" xfId="0" applyFont="1" applyFill="1" applyBorder="1" applyAlignment="1">
      <alignment horizontal="center" vertical="top" wrapText="1"/>
    </xf>
    <xf numFmtId="2" fontId="24" fillId="38" borderId="19" xfId="0" applyNumberFormat="1" applyFont="1" applyFill="1" applyBorder="1" applyAlignment="1">
      <alignment horizontal="center" vertical="top" wrapText="1"/>
    </xf>
    <xf numFmtId="0" fontId="23" fillId="36" borderId="0" xfId="0" applyFont="1" applyFill="1" applyAlignment="1">
      <alignment vertical="top" wrapText="1"/>
    </xf>
    <xf numFmtId="0" fontId="19" fillId="0" borderId="0" xfId="0" applyFont="1"/>
    <xf numFmtId="0" fontId="23" fillId="33" borderId="0" xfId="0" applyFont="1" applyFill="1" applyAlignment="1">
      <alignment vertical="top" wrapText="1"/>
    </xf>
    <xf numFmtId="0" fontId="19" fillId="36" borderId="10" xfId="0" applyFont="1" applyFill="1" applyBorder="1" applyAlignment="1">
      <alignment horizontal="center" vertical="top" wrapText="1"/>
    </xf>
    <xf numFmtId="0" fontId="19" fillId="36" borderId="11" xfId="0" applyFont="1" applyFill="1" applyBorder="1" applyAlignment="1">
      <alignment horizontal="center" vertical="top" wrapText="1"/>
    </xf>
    <xf numFmtId="0" fontId="19" fillId="36" borderId="12" xfId="0" applyFont="1" applyFill="1" applyBorder="1" applyAlignment="1">
      <alignment horizontal="center" vertical="top" wrapText="1"/>
    </xf>
    <xf numFmtId="0" fontId="29" fillId="33" borderId="10" xfId="0" applyFont="1" applyFill="1" applyBorder="1" applyAlignment="1">
      <alignment horizontal="center" vertical="top" wrapText="1"/>
    </xf>
    <xf numFmtId="0" fontId="29" fillId="33" borderId="11" xfId="0" applyFont="1" applyFill="1" applyBorder="1" applyAlignment="1">
      <alignment horizontal="center" vertical="top" wrapText="1"/>
    </xf>
    <xf numFmtId="0" fontId="29" fillId="33" borderId="12" xfId="0" applyFont="1" applyFill="1" applyBorder="1" applyAlignment="1">
      <alignment horizontal="center" vertical="top" wrapText="1"/>
    </xf>
    <xf numFmtId="0" fontId="0" fillId="35" borderId="0" xfId="0" applyFill="1" applyAlignment="1">
      <alignment horizontal="center" vertical="top" textRotation="90" wrapText="1"/>
    </xf>
    <xf numFmtId="0" fontId="0" fillId="34" borderId="0" xfId="0" applyFill="1" applyAlignment="1">
      <alignment horizontal="center" vertical="top" textRotation="90" wrapText="1"/>
    </xf>
    <xf numFmtId="0" fontId="17" fillId="33" borderId="0" xfId="0" applyFont="1" applyFill="1" applyAlignment="1">
      <alignment horizontal="center" vertical="top" textRotation="90" wrapText="1"/>
    </xf>
    <xf numFmtId="0" fontId="0" fillId="0" borderId="0" xfId="0" applyAlignment="1">
      <alignment horizontal="center" vertical="top" wrapText="1"/>
    </xf>
    <xf numFmtId="2" fontId="0" fillId="0" borderId="0" xfId="0" applyNumberFormat="1" applyAlignment="1">
      <alignment horizontal="center" vertical="top" wrapText="1"/>
    </xf>
    <xf numFmtId="0" fontId="0" fillId="0" borderId="0" xfId="0" applyAlignment="1">
      <alignment horizontal="center"/>
    </xf>
    <xf numFmtId="0" fontId="0" fillId="37" borderId="0" xfId="0" applyFill="1" applyAlignment="1">
      <alignment horizontal="center" vertical="top" wrapText="1"/>
    </xf>
    <xf numFmtId="0" fontId="0" fillId="38" borderId="0" xfId="0" applyFill="1" applyAlignment="1">
      <alignment horizontal="center" vertical="top" wrapText="1"/>
    </xf>
    <xf numFmtId="0" fontId="30" fillId="34" borderId="0" xfId="0" applyFont="1" applyFill="1" applyAlignment="1">
      <alignment horizontal="center" vertical="top" textRotation="90" wrapText="1"/>
    </xf>
    <xf numFmtId="0" fontId="30" fillId="33" borderId="0" xfId="0" applyFont="1" applyFill="1" applyAlignment="1">
      <alignment horizontal="center" vertical="top" textRotation="90" wrapText="1"/>
    </xf>
    <xf numFmtId="0" fontId="26" fillId="35" borderId="12" xfId="0" applyFont="1" applyFill="1" applyBorder="1" applyAlignment="1">
      <alignment horizontal="center" vertical="top" wrapText="1"/>
    </xf>
    <xf numFmtId="0" fontId="18" fillId="0" borderId="13" xfId="0" applyFont="1" applyBorder="1" applyAlignment="1">
      <alignment horizontal="center" vertical="top" wrapText="1"/>
    </xf>
    <xf numFmtId="0" fontId="18" fillId="0" borderId="0" xfId="0" applyFont="1" applyAlignment="1">
      <alignment horizontal="center" vertical="top" wrapText="1"/>
    </xf>
    <xf numFmtId="0" fontId="18" fillId="0" borderId="14" xfId="0" applyFont="1" applyBorder="1" applyAlignment="1">
      <alignment horizontal="center" vertical="top" wrapText="1"/>
    </xf>
    <xf numFmtId="0" fontId="25" fillId="33" borderId="10" xfId="0" applyFont="1" applyFill="1" applyBorder="1"/>
    <xf numFmtId="0" fontId="25" fillId="33" borderId="11" xfId="0" applyFont="1" applyFill="1" applyBorder="1"/>
    <xf numFmtId="0" fontId="25" fillId="33" borderId="12" xfId="0" applyFont="1" applyFill="1" applyBorder="1"/>
    <xf numFmtId="0" fontId="20" fillId="0" borderId="13" xfId="0" applyFont="1" applyBorder="1"/>
    <xf numFmtId="2" fontId="20" fillId="0" borderId="0" xfId="0" applyNumberFormat="1" applyFont="1" applyBorder="1"/>
    <xf numFmtId="2" fontId="20" fillId="0" borderId="14" xfId="0" applyNumberFormat="1" applyFont="1" applyBorder="1"/>
    <xf numFmtId="0" fontId="20" fillId="0" borderId="15" xfId="0" applyFont="1" applyBorder="1"/>
    <xf numFmtId="2" fontId="20" fillId="0" borderId="16" xfId="0" applyNumberFormat="1" applyFont="1" applyBorder="1"/>
    <xf numFmtId="2" fontId="20" fillId="0" borderId="17"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top" textRotation="0" wrapText="1" indent="0" justifyLastLine="0" shrinkToFit="0" readingOrder="0"/>
      <border diagonalUp="0" diagonalDown="0" outline="0">
        <left style="medium">
          <color indexed="64"/>
        </left>
        <right/>
        <top/>
        <bottom/>
      </border>
    </dxf>
    <dxf>
      <font>
        <b val="0"/>
        <i val="0"/>
        <strike val="0"/>
        <condense val="0"/>
        <extend val="0"/>
        <outline val="0"/>
        <shadow val="0"/>
        <u val="none"/>
        <vertAlign val="baseline"/>
        <sz val="16"/>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6"/>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6"/>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6"/>
        <color theme="1"/>
        <name val="Calibri"/>
        <family val="2"/>
        <scheme val="minor"/>
      </font>
      <alignment horizontal="general" vertical="top" textRotation="0" wrapText="1" indent="0" justifyLastLine="0" shrinkToFit="0" readingOrder="0"/>
    </dxf>
    <dxf>
      <font>
        <strike val="0"/>
        <outline val="0"/>
        <shadow val="0"/>
        <u val="none"/>
        <vertAlign val="baseline"/>
        <sz val="16"/>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strike val="0"/>
        <outline val="0"/>
        <shadow val="0"/>
        <u val="none"/>
        <vertAlign val="baseline"/>
        <sz val="16"/>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28"/>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8"/>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8"/>
        <color theme="1"/>
        <name val="Calibri"/>
        <family val="2"/>
        <scheme val="minor"/>
      </font>
      <alignment horizontal="center" vertical="top" textRotation="0" wrapText="1" indent="0" justifyLastLine="0" shrinkToFit="0" readingOrder="0"/>
    </dxf>
    <dxf>
      <font>
        <strike val="0"/>
        <outline val="0"/>
        <shadow val="0"/>
        <u val="none"/>
        <vertAlign val="baseline"/>
        <sz val="16"/>
        <color theme="1"/>
        <name val="Calibri"/>
        <family val="2"/>
        <scheme val="minor"/>
      </font>
      <alignment horizontal="general" vertical="top" textRotation="0" wrapText="1" indent="0" justifyLastLine="0" shrinkToFit="0" readingOrder="0"/>
    </dxf>
    <dxf>
      <font>
        <strike val="0"/>
        <outline val="0"/>
        <shadow val="0"/>
        <u val="none"/>
        <vertAlign val="baseline"/>
        <sz val="22"/>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numFmt numFmtId="2" formatCode="0.00"/>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font>
        <strike val="0"/>
        <outline val="0"/>
        <shadow val="0"/>
        <u val="none"/>
        <vertAlign val="baseline"/>
        <sz val="12"/>
        <name val="Calibri"/>
        <family val="2"/>
        <scheme val="minor"/>
      </font>
      <alignment horizontal="general" vertical="top" textRotation="0" wrapText="1" indent="0" justifyLastLine="0" shrinkToFit="0" readingOrder="0"/>
    </dxf>
    <dxf>
      <font>
        <strike val="0"/>
        <outline val="0"/>
        <shadow val="0"/>
        <u val="none"/>
        <vertAlign val="baseline"/>
        <sz val="12"/>
        <name val="Calibri"/>
        <family val="2"/>
        <scheme val="minor"/>
      </font>
      <alignment horizontal="general" vertical="top" textRotation="0" wrapText="1" indent="0" justifyLastLine="0" shrinkToFit="0" readingOrder="0"/>
    </dxf>
    <dxf>
      <font>
        <strike val="0"/>
        <outline val="0"/>
        <shadow val="0"/>
        <u val="none"/>
        <vertAlign val="baseline"/>
        <sz val="12"/>
        <name val="Calibri"/>
        <family val="2"/>
        <scheme val="minor"/>
      </font>
    </dxf>
    <dxf>
      <font>
        <b val="0"/>
        <i val="0"/>
        <strike val="0"/>
        <condense val="0"/>
        <extend val="0"/>
        <outline val="0"/>
        <shadow val="0"/>
        <u val="none"/>
        <vertAlign val="baseline"/>
        <sz val="12"/>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12"/>
        <color theme="0"/>
        <name val="Calibri"/>
        <family val="2"/>
        <scheme val="minor"/>
      </font>
      <fill>
        <patternFill patternType="solid">
          <fgColor indexed="64"/>
          <bgColor rgb="FF002060"/>
        </patternFill>
      </fill>
      <alignment horizontal="center" vertical="top" textRotation="9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2"/>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20"/>
        <color theme="1"/>
        <name val="Calibri"/>
        <family val="2"/>
        <scheme val="minor"/>
      </font>
      <alignment horizontal="center" vertical="top" textRotation="0" wrapText="1" indent="0" justifyLastLine="0" shrinkToFit="0" readingOrder="0"/>
    </dxf>
    <dxf>
      <font>
        <b val="0"/>
        <i val="0"/>
        <strike val="0"/>
        <condense val="0"/>
        <extend val="0"/>
        <outline val="0"/>
        <shadow val="0"/>
        <u val="none"/>
        <vertAlign val="baseline"/>
        <sz val="20"/>
        <color theme="0"/>
        <name val="Calibri"/>
        <family val="2"/>
        <scheme val="minor"/>
      </font>
      <fill>
        <patternFill patternType="solid">
          <fgColor indexed="64"/>
          <bgColor rgb="FF002060"/>
        </patternFill>
      </fill>
      <alignment horizontal="center" vertical="top" textRotation="90" wrapText="1" indent="0" justifyLastLine="0" shrinkToFit="0" readingOrder="0"/>
    </dxf>
    <dxf>
      <font>
        <strike val="0"/>
        <outline val="0"/>
        <shadow val="0"/>
        <u val="none"/>
        <vertAlign val="baseline"/>
        <sz val="14"/>
        <color theme="1"/>
        <name val="Calibri"/>
        <family val="2"/>
        <scheme val="minor"/>
      </font>
      <alignment horizontal="general" vertical="top" textRotation="0" wrapText="1" indent="0" justifyLastLine="0" shrinkToFit="0" readingOrder="0"/>
    </dxf>
    <dxf>
      <font>
        <strike val="0"/>
        <outline val="0"/>
        <shadow val="0"/>
        <u val="none"/>
        <vertAlign val="baseline"/>
        <sz val="14"/>
        <color theme="1"/>
        <name val="Calibri"/>
        <family val="2"/>
        <scheme val="minor"/>
      </font>
      <alignment horizontal="general"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0"/>
        <color theme="1"/>
        <name val="Calibri"/>
        <family val="2"/>
        <scheme val="minor"/>
      </font>
      <alignment horizontal="center" vertical="top" textRotation="0" wrapText="1" indent="0" justifyLastLine="0" shrinkToFit="0" readingOrder="0"/>
    </dxf>
    <dxf>
      <font>
        <strike val="0"/>
        <outline val="0"/>
        <shadow val="0"/>
        <u val="none"/>
        <vertAlign val="baseline"/>
        <sz val="22"/>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Graph!$D$15</c:f>
              <c:strCache>
                <c:ptCount val="1"/>
                <c:pt idx="0">
                  <c:v>Non Optimized Response</c:v>
                </c:pt>
              </c:strCache>
            </c:strRef>
          </c:tx>
          <c:spPr>
            <a:solidFill>
              <a:schemeClr val="accent1"/>
            </a:solidFill>
            <a:ln>
              <a:noFill/>
            </a:ln>
            <a:effectLst/>
          </c:spPr>
          <c:invertIfNegative val="0"/>
          <c:cat>
            <c:strRef>
              <c:f>Graph!$C$16:$C$19</c:f>
              <c:strCache>
                <c:ptCount val="4"/>
                <c:pt idx="0">
                  <c:v>Empathy </c:v>
                </c:pt>
                <c:pt idx="1">
                  <c:v>Relevance</c:v>
                </c:pt>
                <c:pt idx="2">
                  <c:v>Faithfulness</c:v>
                </c:pt>
                <c:pt idx="3">
                  <c:v>Helpfulness</c:v>
                </c:pt>
              </c:strCache>
            </c:strRef>
          </c:cat>
          <c:val>
            <c:numRef>
              <c:f>Graph!$D$16:$D$19</c:f>
              <c:numCache>
                <c:formatCode>0.00</c:formatCode>
                <c:ptCount val="4"/>
                <c:pt idx="0">
                  <c:v>1.83</c:v>
                </c:pt>
                <c:pt idx="1">
                  <c:v>4.1538461538461542</c:v>
                </c:pt>
                <c:pt idx="2">
                  <c:v>3.3846153846153846</c:v>
                </c:pt>
                <c:pt idx="3">
                  <c:v>2.3461538461538463</c:v>
                </c:pt>
              </c:numCache>
            </c:numRef>
          </c:val>
          <c:extLst>
            <c:ext xmlns:c16="http://schemas.microsoft.com/office/drawing/2014/chart" uri="{C3380CC4-5D6E-409C-BE32-E72D297353CC}">
              <c16:uniqueId val="{00000000-7BD0-D949-812F-693044B93FF9}"/>
            </c:ext>
          </c:extLst>
        </c:ser>
        <c:ser>
          <c:idx val="1"/>
          <c:order val="1"/>
          <c:tx>
            <c:strRef>
              <c:f>Graph!$E$15</c:f>
              <c:strCache>
                <c:ptCount val="1"/>
                <c:pt idx="0">
                  <c:v>Optimized Response</c:v>
                </c:pt>
              </c:strCache>
            </c:strRef>
          </c:tx>
          <c:spPr>
            <a:solidFill>
              <a:schemeClr val="accent2"/>
            </a:solidFill>
            <a:ln>
              <a:noFill/>
            </a:ln>
            <a:effectLst/>
          </c:spPr>
          <c:invertIfNegative val="0"/>
          <c:cat>
            <c:strRef>
              <c:f>Graph!$C$16:$C$19</c:f>
              <c:strCache>
                <c:ptCount val="4"/>
                <c:pt idx="0">
                  <c:v>Empathy </c:v>
                </c:pt>
                <c:pt idx="1">
                  <c:v>Relevance</c:v>
                </c:pt>
                <c:pt idx="2">
                  <c:v>Faithfulness</c:v>
                </c:pt>
                <c:pt idx="3">
                  <c:v>Helpfulness</c:v>
                </c:pt>
              </c:strCache>
            </c:strRef>
          </c:cat>
          <c:val>
            <c:numRef>
              <c:f>Graph!$E$16:$E$19</c:f>
              <c:numCache>
                <c:formatCode>0.00</c:formatCode>
                <c:ptCount val="4"/>
                <c:pt idx="0">
                  <c:v>4.1923076923076925</c:v>
                </c:pt>
                <c:pt idx="1">
                  <c:v>4.7307692307692308</c:v>
                </c:pt>
                <c:pt idx="2">
                  <c:v>4.5384615384615383</c:v>
                </c:pt>
                <c:pt idx="3">
                  <c:v>4.2692307692307692</c:v>
                </c:pt>
              </c:numCache>
            </c:numRef>
          </c:val>
          <c:extLst>
            <c:ext xmlns:c16="http://schemas.microsoft.com/office/drawing/2014/chart" uri="{C3380CC4-5D6E-409C-BE32-E72D297353CC}">
              <c16:uniqueId val="{00000001-7BD0-D949-812F-693044B93FF9}"/>
            </c:ext>
          </c:extLst>
        </c:ser>
        <c:dLbls>
          <c:showLegendKey val="0"/>
          <c:showVal val="0"/>
          <c:showCatName val="0"/>
          <c:showSerName val="0"/>
          <c:showPercent val="0"/>
          <c:showBubbleSize val="0"/>
        </c:dLbls>
        <c:gapWidth val="219"/>
        <c:overlap val="-27"/>
        <c:axId val="1579076335"/>
        <c:axId val="1579078767"/>
      </c:barChart>
      <c:catAx>
        <c:axId val="157907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79078767"/>
        <c:crosses val="autoZero"/>
        <c:auto val="1"/>
        <c:lblAlgn val="ctr"/>
        <c:lblOffset val="100"/>
        <c:noMultiLvlLbl val="0"/>
      </c:catAx>
      <c:valAx>
        <c:axId val="1579078767"/>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79076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2489200</xdr:colOff>
      <xdr:row>1</xdr:row>
      <xdr:rowOff>12700</xdr:rowOff>
    </xdr:from>
    <xdr:to>
      <xdr:col>12</xdr:col>
      <xdr:colOff>38100</xdr:colOff>
      <xdr:row>28</xdr:row>
      <xdr:rowOff>127000</xdr:rowOff>
    </xdr:to>
    <xdr:graphicFrame macro="">
      <xdr:nvGraphicFramePr>
        <xdr:cNvPr id="4" name="Chart 3">
          <a:extLst>
            <a:ext uri="{FF2B5EF4-FFF2-40B4-BE49-F238E27FC236}">
              <a16:creationId xmlns:a16="http://schemas.microsoft.com/office/drawing/2014/main" id="{95427FF5-91FA-A0D9-4983-ECB8A9207A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730C6BE-E9DA-4049-8BE1-0840322A9309}" name="Table4" displayName="Table4" ref="A1:K169" totalsRowShown="0" headerRowDxfId="67" dataDxfId="66">
  <autoFilter xmlns:x14="http://schemas.microsoft.com/office/spreadsheetml/2009/9/main" ref="A1:K169" xr:uid="{8730C6BE-E9DA-4049-8BE1-0840322A9309}">
    <filterColumn colId="9">
      <filters blank="1">
        <mc:AlternateContent xmlns:mc="http://schemas.openxmlformats.org/markup-compatibility/2006">
          <mc:Choice Requires="x14">
            <x14:filter val="The data for patient 006c29d1-d868-3a9e-ceab-31f23e398f45 includes vital measurements from various dates, with the most recent entries dated April 16, 2025. Notably, the patient's Body Mass Index (BMI) increased from 29.06 kg/m¬≤ in June 2020 to 30.33 kg/m¬≤ in April 2025, indicating a trend towards overweight status. Heart rate values fluctuated, with a notable increase from 84 beats per minute in April 2025 compared to 92 and 98 beats per minute in earlier measurements. There are gaps in the data for certain vital signs, as indicated by the absence of values for some dates. The table shows 20 rows, suggesting it may be truncated."/>
            <x14:filter val="The data for patient ID 0c76b28e-5685-0754-12d1-b1a6b79866f7 includes 85 rows of vital signs, with the most recent measurements recorded on April 20, 2025. Notable trends include a decrease in Body Mass Index (BMI) from 30.39 kg/m¬≤ in June 2023 to 28.3 kg/m¬≤ in April 2025, alongside a reduction in body weight from 73.4 kg to 68.3 kg over the same period. Heart rate has fluctuated, with a notable decrease from 89 beats per minute in April 2024 to 74 in April 2025. There are gaps in the data for certain vital signs, particularly for respiratory rate, which has not been consistently recorded across all dates."/>
            <x14:filter val="The data for patient ID 1a9873c2-1d93-e9d6-4e36-77fdb07fbcb2 includes 77 rows, with several notable gaps in test results, particularly for the Diabetic retinopathy severity levels and various urine test parameters, which are marked as &quot;‚Äî&quot;. Recent tests from July 2025 show intraocular pressure at 17 mm[Hg] for both eyes and a LogMAR visual acuity of 0.3 for each eye. Additionally, the patient has a total score of 1 on the AUDIT-C and PHQ-2 assessments, indicating low levels of alcohol use and depressive symptoms, respectively. There is a significant amount of missing data, particularly in the areas of fall risk assessment and urine analysis."/>
            <x14:filter val="The data for patient ID 2da86d63-34ae-b887-ddff-8f6f1e6990f1 includes 31 rows, with the most recent entries dated June 17, 2023. Notable values include a Total AUDIT-C score of 1, a Body Mass Index (BMI) of 21.74 kg/m¬≤, and a Pain severity score of 2. There are several fields marked as &quot;‚Äî&quot;, indicating missing data, particularly for the blood pressure panel, tobacco smoking status, and various assessments related to pain and substance use. The table appears truncated, as it does not provide a complete overview of the patient's medical history."/>
            <x14:filter val="The data for patient ID 3270397c-dfa3-6cea-f2ec-be21ade6c52c shows vital measurements taken on three occasions: April 6, 2023; April 2, 2020; and March 30, 2017. Notably, the patient's Body Weight increased from 76.6 kg in 2017 to 86 kg in 2023, while the Body Mass Index (BMI) rose from 24.69 kg/m¬≤ to 27.73 kg/m¬≤ over the same period, indicating a trend towards overweight status. Heart rate decreased from 100 beats per minute in 2020 to 70 in 2023, suggesting improved cardiovascular health. There are gaps in the data for some vital signs, such as blood pressure and temperature, which are not recorded. The table shows 15 rows, indicating it is not truncated."/>
            <x14:filter val="The data for patient ID 3c763653-7fd3-af8a-e65f-79d5bde98d3a includes 33 rows of test results, with the most recent entries dated May 9, 2025. Notable scores include a Total AUDIT-C score of 2 and a PHQ-2 score of 2, indicating potential concerns in alcohol use and depression. There are several fields marked as &quot;‚Äî&quot;, indicating missing data for tests such as the PRAPARE protocol and tobacco smoking status. The table appears to be truncated, as it does not include all historical data for this patient."/>
            <x14:filter val="The data for patient ID 43e4a5fe-add4-5581-d0ef-80764c313418 includes 29 rows of vital measurements, with the most recent entries dated April 18, 2024. Notably, there are gaps in the data for tobacco smoking status, blood pressure panel, and the PRAPARE protocol, which are marked as &quot;‚Äî&quot;. The patient has a total cholesterol level of 146.04 mg/dL and a body mass index (BMI) of 26.56 kg/m¬≤, indicating potential areas for health monitoring. The data appears to be truncated, as it does not cover all possible vital measurements for this patient."/>
            <x14:filter val="The data for patient ID 74a4cdcf-7cc0-7658-e1e0-cd1182d5f205 shows a significant decline in body height and weight over time, with the most recent measurements on September 14, 2024, indicating a height of 119.9 cm and a weight of 22.4 kg. The body mass index (BMI) has also decreased slightly from 15.63 kg/m¬≤ on September 9, 2023, to 15.61 kg/m¬≤. Heart rate and respiratory rate values have fluctuated but remain within a typical range, with the latest heart rate recorded at 81 beats per minute. Notably, there are gaps in the data, particularly for certain vital signs over the years, and the table is truncated, showing only 79 rows."/>
            <x14:filter val="The data for patient ID 77dfae18-8c8c-0ec2-050c-dd93f3ea1cc2 includes 28 rows of test results, with the most recent entries dated May 15, 2025. Notably, the patient has low scores on the PHQ-2 (2) and GAD-7 (0), indicating minimal reported depression and anxiety. There are several fields marked as &quot;‚Äî&quot;, including the PRAPARE protocol and blood pressure panel, suggesting incomplete data in these areas. Additionally, the patient's body temperature was recorded at 39.335¬∞C on May 7, 2025, which may indicate a recent fever. The table appears truncated, as it does not include all historical data for this patient."/>
            <x14:filter val="The data shows a significant upward trend in body weight for the patient, increasing from 3.7 kg in December 2017 to 29.7 kg in December 2024. Notably, the most recent measurement (29.7 kg) is the highest recorded, indicating a substantial gain over the years. There are no gaps in the body weight data, but the values are exclusively for body weight, with no other vital signs recorded. The table is truncated, showing 17 rows of data."/>
            <x14:filter val="The data shows a trend of decreasing body weight for the patient over time, with values recorded at 104.5 kg in both 2018 and 2021, followed by a decrease to 96.4 kg in April 2024, and a slight increase to 97.5 kg in October 2024. Notably, the most recent measurement indicates a weight of 97.5 kg, which is still lower than the earlier values. There are no other vital signs recorded, and the table is truncated, showing only 4 rows."/>
            <x14:filter val="The data shows a trend of fluctuating body weight for the patient over the years, with the most recent measurement on December 20, 2024, at 81 kg. Notably, there was a decrease from 84.5 kg in 2016 to 77.1 kg in 2022, followed by an increase back to 81 kg by the end of 2024. The table is truncated, showing only 11 rows of data. There are no entries for vital signs other than body weight, indicating a gap in the collection of other vital measurements."/>
            <x14:filter val="The data shows a trend of increasing Body Mass Index (BMI) values for the patient over the years, starting from 30.11 kg/m¬≤ in 2016 and reaching 30.11 kg/m¬≤ again in 2022, before rising to 29.9 kg/m¬≤ in 2024 and 27.98 kg/m¬≤ in 2025. Notably, the most recent measurement in July 2025 indicates a decrease in BMI, suggesting a potential improvement in the patient's weight status. The table is truncated, showing only 10 rows of data."/>
            <x14:filter val="The data shows a trend of increasing Body Mass Index (BMI) values over time for the patient, starting from a low of 15.27 kg/m¬≤ in June 2016 to a recent high of 18.52 kg/m¬≤ in August 2025. Notably, there are consistent increases in BMI from 2016 to 2025, with the most significant jumps occurring between 2020 and 2024. The table is truncated, showing only 11 rows of data. There are no gaps in the recorded BMI values, but the effective dates indicate a lack of data for the years 2026 and beyond."/>
            <x14:filter val="The data shows a trend of increasing body weight for the patient over time, with the most recent measurement on December 19, 2023, at 89.2 kg, which is consistent with a previous measurement from June 13, 2023. The patient's weight has risen from 79.3 kg in June 2017 to 89.2 kg in December 2023, indicating a significant increase over the years. Notably, there are no entries for the years 2018, 2019, 2020, and 2021, suggesting potential gaps in monitoring during that period. The table is truncated, showing only 5 rows of data."/>
            <x14:filter val="The table shows 16 entries related to the patient's medical conditions and findings, with all but three entries marked as resolved. Notably, the most recent entries include findings from March 2023, indicating ongoing assessments related to education and stress, both of which remain active. There are future dates for conditions like acute viral pharyngitis and viral sinusitis, suggesting planned follow-ups. Gaps are present for the &quot;resolved_at&quot; dates for the findings related to education, stress, and not being in the labor force. The table appears to be truncated, as it does not provide a complete overview of the patient's medical history."/>
            <x14:filter val="The table shows 17 rows of patient data, with a mix of resolved and active conditions. Notably, there are 7 active conditions, including chronic neck pain, chronic low back pain, and stress, which have not been resolved. Recent entries from June 2023 indicate ongoing issues with part-time employment, social isolation, and reports of violence in the environment. There are several fields marked with &quot;‚Äî,&quot; indicating gaps in resolution dates for active conditions, which may require further attention."/>
            <x14:filter val="The table shows a single entry for patient ID 3de203ff-a5b9-e99a-c705-3927503e2abf, indicating a body weight of 70.3 kg recorded on August 5, 2024. There are no additional vital signs or historical data provided, which limits the ability to assess trends or changes over time. The table appears truncated, as only one row is shown."/>
            <x14:filter val="The table shows a single entry for patient ID 3f7873ab-0f61-be0c-9af8-f246eec6223a, indicating a body weight of 84.9 kg recorded on January 28, 2000. There are no additional vital signs or recent data points available, as the table is truncated and only one row is shown. This limits the ability to assess trends or changes in the patient's health over time."/>
            <x14:filter val="The table shows a single entry for patient ID 782ada1b-32a4-888a-8812-d8de70d6e5d0, recording a body weight of 95 kg on May 19, 2021. There are no additional vital signs or recent data points available, indicating a gap in the patient's vital records. The data is limited to one row, suggesting a need for more comprehensive monitoring."/>
            <x14:filter val="The table shows a single entry for patient ID b427e4ea-3a48-207a-bf7d-710f0b574091, indicating a body weight of 23 kg recorded on April 14, 2025. There are no additional vital signs or historical data provided, which limits the ability to assess trends or changes in the patient's health status. The data appears to be truncated, as only one row is shown."/>
            <x14:filter val="The table shows five medications prescribed to the patient with ID e6705c33-7349-8b12-484d-3b1f93227178, but only one medication, fluticasone propionate, has a specified dose. All other entries lack dosage, route, start and end dates, and refill information, indicating incomplete data. There is a notable absence of recent medication management details, as all fields are marked with &quot;‚Äî&quot; for four of the medications. The table appears truncated, showing only 5 rows."/>
            <x14:filter val="The table shows medication data for patient ID 43e4a5fe-add4-5581-d0ef-80764c313418, including two medications: amLODIPine 2.5 MG and lisinopril 10 MG, both at a dose of 1.0. The route and timing details for these medications are not provided, as indicated by the &quot;‚Äî&quot; entries. There is also a third row with no medication data, suggesting a gap in the record. The table is truncated, showing only 3 rows."/>
            <x14:filter val="The table shows medication records for patient ID 0851b7fb-87a8-3edc-1e11-8dcb03824dde, with a total of 6 rows displayed. Notably, all medications except Simvastatin 10 MG Oral Tablet have missing values for dose, route, start and end dates, and refills, indicating a lack of detailed information. The only medication with a specified dose is Simvastatin at 1.0, but the route and other details remain unspecified. There are no recent entries or trends evident due to the absence of dates and refill information. The table appears truncated, as it does not provide a complete overview of the patient's medication history."/>
            <x14:filter val="The table shows medication records for patient ID 7cad1f7c-cf61-fd24-254f-d02265160c0a, with a total of 9 entries. Notably, all medications except Simvastatin have missing values for dose, route, start and end dates, and refills, indicating a lack of detailed information. Simvastatin is the only medication with a specified dose of 1.0 MG, while the other entries include various medications such as Acetaminophen and budesonide. The data appears truncated, as there are 9 rows shown, and significant gaps in medication details are present."/>
            <x14:filter val="The table shows medication records for patient ID 9cbd97ef-2209-9b1c-b6f7-a23a6c081740, listing six medications, all with a dose of 1.0 except for Amoxicillin/Clavulanate, which has unspecified dosing. Notably, all medications lack start and end dates, as well as refill information, indicating a potential gap in treatment tracking. The medications include various opioid formulations and an antibiotic, suggesting a focus on pain management and infection treatment. The table is truncated, showing only 6 rows."/>
          </mc:Choice>
          <mc:Fallback/>
        </mc:AlternateContent>
      </filters>
    </filterColumn>
  </autoFilter>
  <tableColumns count="11">
    <tableColumn id="1" xr3:uid="{7A827491-D41B-0E41-B8F0-8FEFF51733E6}" name="patient_id" dataDxfId="65"/>
    <tableColumn id="2" xr3:uid="{0A3658CB-8275-BC46-A8C7-1055B4BACD1E}" name="user_question" dataDxfId="64"/>
    <tableColumn id="3" xr3:uid="{EDA02481-07DA-6843-9714-7C2BB043298E}" name="empathy_opt_score" dataDxfId="63"/>
    <tableColumn id="4" xr3:uid="{A702C6D0-317C-4843-9592-102FEDD10F40}" name="nonopt_R_score" dataDxfId="62"/>
    <tableColumn id="5" xr3:uid="{D557AADD-F6FE-F14D-9BCF-B3E6B995AB7B}" name="nonopt_F_score" dataDxfId="61"/>
    <tableColumn id="6" xr3:uid="{41F0D9BF-B3AC-9B40-B1DA-EBAC139D66FA}" name="nonopt_H_score" dataDxfId="60"/>
    <tableColumn id="7" xr3:uid="{6327E972-52C4-024F-A4F3-BFAFEB258CF2}" name="opt_R_score" dataDxfId="59"/>
    <tableColumn id="8" xr3:uid="{7576261E-8CC9-704D-B995-D81A1EE49F7D}" name="opt_F_score" dataDxfId="58"/>
    <tableColumn id="9" xr3:uid="{1FAC872B-C9ED-0948-A340-D0AF3DFF1550}" name="opt_H_score" dataDxfId="57"/>
    <tableColumn id="10" xr3:uid="{D24B46DB-25B4-8C41-9FE5-A7DFE97FC801}" name="nonopt_resp" dataDxfId="56"/>
    <tableColumn id="11" xr3:uid="{33493BD4-91A3-E44F-8C1E-F1BC368D4BCC}" name="opt_resp" dataDxfId="55"/>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2822AFA-CB3D-4943-BE82-439BB2C40397}" name="Table8" displayName="Table8" ref="A1:K152" totalsRowShown="0" headerRowDxfId="54" dataDxfId="53">
  <autoFilter ref="A1:K152" xr:uid="{F2822AFA-CB3D-4943-BE82-439BB2C40397}"/>
  <tableColumns count="11">
    <tableColumn id="1" xr3:uid="{E9534B8E-71CA-1141-A0B7-B20B844BA156}" name="patient_id" dataDxfId="52"/>
    <tableColumn id="2" xr3:uid="{38826FE6-9A28-024F-9315-1B7F5D77F10B}" name="user_question" dataDxfId="51"/>
    <tableColumn id="3" xr3:uid="{7924F1AD-0B14-A34F-8612-B92CAD2F5A79}" name="empathy_opt_score" dataDxfId="50"/>
    <tableColumn id="4" xr3:uid="{A65AB55C-8F23-EC4A-BA9E-9072C9992D21}" name="nonopt_R_score" dataDxfId="49"/>
    <tableColumn id="5" xr3:uid="{C4E0B1AD-5133-D14A-8DD2-0E8B3B874146}" name="nonopt_F_score" dataDxfId="48"/>
    <tableColumn id="6" xr3:uid="{C1697420-3BDA-FF47-BDA2-09EC2EF37370}" name="nonopt_H_score" dataDxfId="47"/>
    <tableColumn id="7" xr3:uid="{C124EBDD-68B5-224A-9EAB-D21CA1813D06}" name="opt_R_score" dataDxfId="46"/>
    <tableColumn id="8" xr3:uid="{9276A526-749B-3845-B0E6-8F515BE5ED5F}" name="opt_F_score" dataDxfId="45"/>
    <tableColumn id="9" xr3:uid="{3ECF74FB-5643-D74D-A9FD-B5DF2FF578B8}" name="opt_H_score" dataDxfId="44"/>
    <tableColumn id="10" xr3:uid="{B1C6149E-0ECE-9944-B6A1-D580DCFAE95A}" name="nonopt_resp" dataDxfId="43"/>
    <tableColumn id="11" xr3:uid="{E9A699B2-C423-AF4D-AF5A-8E32080F4C06}" name="opt_resp" dataDxfId="42"/>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73FCBF-AE9D-9E43-B731-B11F84ABD738}" name="Table9" displayName="Table9" ref="A1:I28" totalsRowCount="1" headerRowDxfId="41" dataDxfId="40" totalsRowDxfId="39">
  <autoFilter ref="A1:I27" xr:uid="{1273FCBF-AE9D-9E43-B731-B11F84ABD738}"/>
  <tableColumns count="9">
    <tableColumn id="1" xr3:uid="{58BDCE4D-C6D1-4B47-AC52-FEB227A9B295}" name="patient_id" dataDxfId="38" totalsRowDxfId="37"/>
    <tableColumn id="2" xr3:uid="{42248D76-396C-BF4E-A55B-A8D7ED574644}" name="user_question" dataDxfId="36" totalsRowDxfId="35"/>
    <tableColumn id="3" xr3:uid="{75C934FC-FE39-9E4D-B1B5-CB2F20B94D79}" name="empathy_opt_score" totalsRowFunction="custom" dataDxfId="34" totalsRowDxfId="33">
      <totalsRowFormula>AVERAGE(Table9[empathy_opt_score])</totalsRowFormula>
    </tableColumn>
    <tableColumn id="4" xr3:uid="{B55FC022-3982-EE47-8DE0-35C5855F0421}" name="nonopt_R_score" totalsRowFunction="custom" dataDxfId="32" totalsRowDxfId="31">
      <totalsRowFormula>AVERAGE(Table9[nonopt_R_score])</totalsRowFormula>
    </tableColumn>
    <tableColumn id="5" xr3:uid="{8BB74FCE-4C09-B04F-A197-075F3E07148B}" name="nonopt_F_score" totalsRowFunction="custom" dataDxfId="30" totalsRowDxfId="29">
      <totalsRowFormula>AVERAGE(Table9[nonopt_F_score])</totalsRowFormula>
    </tableColumn>
    <tableColumn id="6" xr3:uid="{B52D7B00-D7E6-7042-8929-6917B0049BC7}" name="nonopt_H_score" totalsRowFunction="custom" dataDxfId="28" totalsRowDxfId="27">
      <totalsRowFormula>AVERAGE(Table9[nonopt_H_score])</totalsRowFormula>
    </tableColumn>
    <tableColumn id="7" xr3:uid="{4494AB65-9CB3-394F-A9C3-41E748C8A2FE}" name="opt_R_score" totalsRowFunction="custom" dataDxfId="26" totalsRowDxfId="25">
      <totalsRowFormula>AVERAGE(Table9[opt_R_score])</totalsRowFormula>
    </tableColumn>
    <tableColumn id="8" xr3:uid="{74C432A2-B074-F242-9C30-8EABBD52D187}" name="opt_F_score" totalsRowFunction="custom" dataDxfId="24" totalsRowDxfId="23">
      <totalsRowFormula>AVERAGE(Table9[opt_F_score])</totalsRowFormula>
    </tableColumn>
    <tableColumn id="9" xr3:uid="{2D067C3F-0EFB-5240-8F59-7737B0B387A6}" name="opt_H_score" totalsRowFunction="custom" dataDxfId="22" totalsRowDxfId="21">
      <totalsRowFormula>AVERAGE(Table9[opt_H_score])</totalsRowFormula>
    </tableColumn>
  </tableColumns>
  <tableStyleInfo name="TableStyleDark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0548DD-54B7-2841-9339-307220B124A5}" name="Table47" displayName="Table47" ref="A1:G152" totalsRowShown="0" headerRowDxfId="20" dataDxfId="19">
  <autoFilter ref="A1:G152" xr:uid="{8730C6BE-E9DA-4049-8BE1-0840322A9309}"/>
  <tableColumns count="7">
    <tableColumn id="1" xr3:uid="{4995F4CA-CC1A-6D48-BC9C-E54C3EFF177A}" name="patient_id" dataDxfId="18"/>
    <tableColumn id="2" xr3:uid="{76BA5826-2F88-134E-8193-6BC22E21E63D}" name="user_question" dataDxfId="17"/>
    <tableColumn id="10" xr3:uid="{2C1E5DFA-D294-D346-A67F-1B622FC1EE86}" name="nonopt_resp" dataDxfId="16"/>
    <tableColumn id="13" xr3:uid="{792C19C7-D42B-064E-8D48-327CEE819B31}" name="R" dataDxfId="15"/>
    <tableColumn id="14" xr3:uid="{085D0BFD-7673-D94F-99DE-BD44FE669444}" name="F" dataDxfId="14"/>
    <tableColumn id="15" xr3:uid="{AD406117-D1A2-0D43-AE6C-9382F84C88BA}" name="H" dataDxfId="13"/>
    <tableColumn id="11" xr3:uid="{DF6F6B9A-1DAD-E84A-8AD5-B091A5372CB0}" name="opt_resp" dataDxfId="12"/>
  </tableColumns>
  <tableStyleInfo name="TableStyleMedium1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0A14E2-5929-F447-88B1-0B4FC1636469}" name="Table47111213" displayName="Table47111213" ref="A1:E27" totalsRowShown="0" headerRowDxfId="11" dataDxfId="10">
  <autoFilter ref="A1:E27" xr:uid="{8730C6BE-E9DA-4049-8BE1-0840322A9309}"/>
  <tableColumns count="5">
    <tableColumn id="1" xr3:uid="{388F615A-89E1-6D44-8277-29375A23587D}" name="patient_id" dataDxfId="9" totalsRowDxfId="8"/>
    <tableColumn id="2" xr3:uid="{B94D3F29-0CEF-874A-835A-55C9E5D34A3A}" name="user_question" dataDxfId="7" totalsRowDxfId="6"/>
    <tableColumn id="13" xr3:uid="{6F7F1272-FF6F-6745-BBE9-FA29B8FA36C8}" name="HNOR" dataDxfId="2" totalsRowDxfId="5"/>
    <tableColumn id="14" xr3:uid="{0AB0DF80-30E7-1E44-AD5F-96D43D78770F}" name="HNOF" dataDxfId="1" totalsRowDxfId="4"/>
    <tableColumn id="15" xr3:uid="{36EACD0B-DCA5-7645-BD37-86D6D7C13C8F}" name="HNOH" dataDxfId="0" totalsRowDxfId="3"/>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F3686-0E98-BE45-B8BD-FF0EDC38EBA9}">
  <dimension ref="A1:K169"/>
  <sheetViews>
    <sheetView workbookViewId="0">
      <selection activeCell="I4" sqref="I4"/>
    </sheetView>
  </sheetViews>
  <sheetFormatPr baseColWidth="10" defaultRowHeight="29" x14ac:dyDescent="0.35"/>
  <cols>
    <col min="1" max="1" width="11.83203125" customWidth="1"/>
    <col min="2" max="2" width="30" style="12" customWidth="1"/>
    <col min="3" max="9" width="10.6640625" style="7" bestFit="1" customWidth="1"/>
    <col min="10" max="10" width="35.33203125" style="13" customWidth="1"/>
    <col min="11" max="11" width="39.1640625" style="13" customWidth="1"/>
  </cols>
  <sheetData>
    <row r="1" spans="1:11" ht="188" customHeight="1" x14ac:dyDescent="0.2">
      <c r="A1" s="1" t="s">
        <v>0</v>
      </c>
      <c r="B1" s="11" t="s">
        <v>1</v>
      </c>
      <c r="C1" s="10" t="s">
        <v>2</v>
      </c>
      <c r="D1" s="9" t="s">
        <v>3</v>
      </c>
      <c r="E1" s="9" t="s">
        <v>4</v>
      </c>
      <c r="F1" s="9" t="s">
        <v>5</v>
      </c>
      <c r="G1" s="8" t="s">
        <v>6</v>
      </c>
      <c r="H1" s="8" t="s">
        <v>7</v>
      </c>
      <c r="I1" s="8" t="s">
        <v>8</v>
      </c>
      <c r="J1" s="3" t="s">
        <v>9</v>
      </c>
      <c r="K1" s="3" t="s">
        <v>10</v>
      </c>
    </row>
    <row r="2" spans="1:11" ht="400" hidden="1" x14ac:dyDescent="0.2">
      <c r="A2" s="1" t="s">
        <v>11</v>
      </c>
      <c r="B2" s="11" t="s">
        <v>12</v>
      </c>
      <c r="C2" s="6">
        <v>4</v>
      </c>
      <c r="D2" s="6">
        <v>1</v>
      </c>
      <c r="E2" s="6">
        <v>1</v>
      </c>
      <c r="F2" s="6">
        <v>1</v>
      </c>
      <c r="G2" s="6">
        <v>2</v>
      </c>
      <c r="H2" s="6">
        <v>1</v>
      </c>
      <c r="I2" s="6">
        <v>2</v>
      </c>
      <c r="J2" s="3" t="s">
        <v>13</v>
      </c>
      <c r="K2" s="3" t="s">
        <v>14</v>
      </c>
    </row>
    <row r="3" spans="1:11" ht="380" hidden="1" x14ac:dyDescent="0.2">
      <c r="A3" s="2" t="s">
        <v>15</v>
      </c>
      <c r="B3" s="11" t="s">
        <v>16</v>
      </c>
      <c r="C3" s="6">
        <v>4</v>
      </c>
      <c r="D3" s="6">
        <v>1</v>
      </c>
      <c r="E3" s="6">
        <v>1</v>
      </c>
      <c r="F3" s="6">
        <v>1</v>
      </c>
      <c r="G3" s="6">
        <v>2</v>
      </c>
      <c r="H3" s="6">
        <v>1</v>
      </c>
      <c r="I3" s="6">
        <v>2</v>
      </c>
      <c r="J3" s="3" t="s">
        <v>13</v>
      </c>
      <c r="K3" s="3" t="s">
        <v>17</v>
      </c>
    </row>
    <row r="4" spans="1:11" ht="380" x14ac:dyDescent="0.2">
      <c r="A4" s="1" t="s">
        <v>18</v>
      </c>
      <c r="B4" s="11" t="s">
        <v>19</v>
      </c>
      <c r="C4" s="6">
        <v>4</v>
      </c>
      <c r="D4" s="6">
        <v>4</v>
      </c>
      <c r="E4" s="6">
        <v>1</v>
      </c>
      <c r="F4" s="6">
        <v>3</v>
      </c>
      <c r="G4" s="6">
        <v>3</v>
      </c>
      <c r="H4" s="6">
        <v>4</v>
      </c>
      <c r="I4" s="6">
        <v>2</v>
      </c>
      <c r="J4" s="3" t="s">
        <v>20</v>
      </c>
      <c r="K4" s="3" t="s">
        <v>21</v>
      </c>
    </row>
    <row r="5" spans="1:11" ht="409.6" x14ac:dyDescent="0.2">
      <c r="A5" s="1" t="s">
        <v>22</v>
      </c>
      <c r="B5" s="11" t="s">
        <v>23</v>
      </c>
      <c r="C5" s="6">
        <v>4</v>
      </c>
      <c r="D5" s="6">
        <v>5</v>
      </c>
      <c r="E5" s="6">
        <v>5</v>
      </c>
      <c r="F5" s="6">
        <v>4</v>
      </c>
      <c r="G5" s="6">
        <v>5</v>
      </c>
      <c r="H5" s="6">
        <v>5</v>
      </c>
      <c r="I5" s="6">
        <v>5</v>
      </c>
      <c r="J5" s="3" t="s">
        <v>24</v>
      </c>
      <c r="K5" s="3" t="s">
        <v>25</v>
      </c>
    </row>
    <row r="6" spans="1:11" ht="409.6" x14ac:dyDescent="0.2">
      <c r="A6" s="1" t="s">
        <v>26</v>
      </c>
      <c r="B6" s="11" t="s">
        <v>27</v>
      </c>
      <c r="C6" s="6">
        <v>4</v>
      </c>
      <c r="D6" s="6">
        <v>4</v>
      </c>
      <c r="E6" s="6">
        <v>2</v>
      </c>
      <c r="F6" s="6">
        <v>2</v>
      </c>
      <c r="G6" s="6">
        <v>5</v>
      </c>
      <c r="H6" s="6">
        <v>4</v>
      </c>
      <c r="I6" s="6">
        <v>4</v>
      </c>
      <c r="J6" s="3" t="s">
        <v>28</v>
      </c>
      <c r="K6" s="3" t="s">
        <v>29</v>
      </c>
    </row>
    <row r="7" spans="1:11" ht="380" hidden="1" x14ac:dyDescent="0.2">
      <c r="A7" s="1" t="s">
        <v>30</v>
      </c>
      <c r="B7" s="11" t="s">
        <v>12</v>
      </c>
      <c r="C7" s="6">
        <v>4</v>
      </c>
      <c r="D7" s="6">
        <v>1</v>
      </c>
      <c r="E7" s="6">
        <v>1</v>
      </c>
      <c r="F7" s="6">
        <v>1</v>
      </c>
      <c r="G7" s="6">
        <v>2</v>
      </c>
      <c r="H7" s="6">
        <v>1</v>
      </c>
      <c r="I7" s="6">
        <v>2</v>
      </c>
      <c r="J7" s="3" t="s">
        <v>13</v>
      </c>
      <c r="K7" s="3" t="s">
        <v>31</v>
      </c>
    </row>
    <row r="8" spans="1:11" ht="409.6" x14ac:dyDescent="0.2">
      <c r="A8" s="1" t="s">
        <v>32</v>
      </c>
      <c r="B8" s="11" t="s">
        <v>33</v>
      </c>
      <c r="C8" s="6">
        <v>4</v>
      </c>
      <c r="D8" s="6">
        <v>4</v>
      </c>
      <c r="E8" s="6">
        <v>2</v>
      </c>
      <c r="F8" s="6">
        <v>2</v>
      </c>
      <c r="G8" s="6">
        <v>5</v>
      </c>
      <c r="H8" s="6">
        <v>3</v>
      </c>
      <c r="I8" s="6">
        <v>5</v>
      </c>
      <c r="J8" s="3" t="s">
        <v>34</v>
      </c>
      <c r="K8" s="3" t="s">
        <v>35</v>
      </c>
    </row>
    <row r="9" spans="1:11" ht="409.6" x14ac:dyDescent="0.2">
      <c r="A9" s="1" t="s">
        <v>36</v>
      </c>
      <c r="B9" s="11" t="s">
        <v>37</v>
      </c>
      <c r="C9" s="6">
        <v>4</v>
      </c>
      <c r="D9" s="6">
        <v>3</v>
      </c>
      <c r="E9" s="6">
        <v>3</v>
      </c>
      <c r="F9" s="6">
        <v>2</v>
      </c>
      <c r="G9" s="6">
        <v>5</v>
      </c>
      <c r="H9" s="6">
        <v>5</v>
      </c>
      <c r="I9" s="6">
        <v>5</v>
      </c>
      <c r="J9" s="3" t="s">
        <v>38</v>
      </c>
      <c r="K9" s="3" t="s">
        <v>39</v>
      </c>
    </row>
    <row r="10" spans="1:11" ht="220" x14ac:dyDescent="0.2">
      <c r="A10" s="1" t="s">
        <v>40</v>
      </c>
      <c r="B10" s="11" t="s">
        <v>19</v>
      </c>
      <c r="C10" s="6">
        <v>4</v>
      </c>
      <c r="D10" s="6">
        <v>4</v>
      </c>
      <c r="E10" s="6">
        <v>3</v>
      </c>
      <c r="F10" s="6">
        <v>2</v>
      </c>
      <c r="G10" s="6">
        <v>5</v>
      </c>
      <c r="H10" s="6">
        <v>5</v>
      </c>
      <c r="I10" s="6">
        <v>4</v>
      </c>
      <c r="J10" s="3" t="s">
        <v>41</v>
      </c>
      <c r="K10" s="3" t="s">
        <v>42</v>
      </c>
    </row>
    <row r="11" spans="1:11" ht="409.6" x14ac:dyDescent="0.2">
      <c r="A11" s="1" t="s">
        <v>30</v>
      </c>
      <c r="B11" s="11" t="s">
        <v>37</v>
      </c>
      <c r="C11" s="6">
        <v>4</v>
      </c>
      <c r="D11" s="6">
        <v>4</v>
      </c>
      <c r="E11" s="6">
        <v>2</v>
      </c>
      <c r="F11" s="6">
        <v>2</v>
      </c>
      <c r="G11" s="6">
        <v>5</v>
      </c>
      <c r="H11" s="6">
        <v>5</v>
      </c>
      <c r="I11" s="6">
        <v>5</v>
      </c>
      <c r="J11" s="3" t="s">
        <v>43</v>
      </c>
      <c r="K11" s="3" t="s">
        <v>44</v>
      </c>
    </row>
    <row r="12" spans="1:11" ht="409.6" x14ac:dyDescent="0.2">
      <c r="A12" s="1" t="s">
        <v>45</v>
      </c>
      <c r="B12" s="11" t="s">
        <v>46</v>
      </c>
      <c r="C12" s="6">
        <v>5</v>
      </c>
      <c r="D12" s="6">
        <v>3</v>
      </c>
      <c r="E12" s="6">
        <v>2</v>
      </c>
      <c r="F12" s="6">
        <v>2</v>
      </c>
      <c r="G12" s="6">
        <v>2</v>
      </c>
      <c r="H12" s="6">
        <v>2</v>
      </c>
      <c r="I12" s="6">
        <v>2</v>
      </c>
      <c r="J12" s="3" t="s">
        <v>47</v>
      </c>
      <c r="K12" s="3" t="s">
        <v>48</v>
      </c>
    </row>
    <row r="13" spans="1:11" ht="409.6" x14ac:dyDescent="0.2">
      <c r="A13" s="1" t="s">
        <v>49</v>
      </c>
      <c r="B13" s="11" t="s">
        <v>50</v>
      </c>
      <c r="C13" s="6">
        <v>4</v>
      </c>
      <c r="D13" s="6">
        <v>4</v>
      </c>
      <c r="E13" s="6">
        <v>5</v>
      </c>
      <c r="F13" s="6">
        <v>2</v>
      </c>
      <c r="G13" s="6">
        <v>5</v>
      </c>
      <c r="H13" s="6">
        <v>5</v>
      </c>
      <c r="I13" s="6">
        <v>5</v>
      </c>
      <c r="J13" s="3" t="s">
        <v>51</v>
      </c>
      <c r="K13" s="3" t="s">
        <v>52</v>
      </c>
    </row>
    <row r="14" spans="1:11" ht="409.6" x14ac:dyDescent="0.2">
      <c r="A14" s="1" t="s">
        <v>53</v>
      </c>
      <c r="B14" s="11" t="s">
        <v>54</v>
      </c>
      <c r="C14" s="6">
        <v>5</v>
      </c>
      <c r="D14" s="6">
        <v>4</v>
      </c>
      <c r="E14" s="6">
        <v>4</v>
      </c>
      <c r="F14" s="6">
        <v>2</v>
      </c>
      <c r="G14" s="6">
        <v>4</v>
      </c>
      <c r="H14" s="6">
        <v>5</v>
      </c>
      <c r="I14" s="6">
        <v>3</v>
      </c>
      <c r="J14" s="3" t="s">
        <v>55</v>
      </c>
      <c r="K14" s="3" t="s">
        <v>56</v>
      </c>
    </row>
    <row r="15" spans="1:11" ht="409.6" x14ac:dyDescent="0.2">
      <c r="A15" s="1" t="s">
        <v>57</v>
      </c>
      <c r="B15" s="11" t="s">
        <v>54</v>
      </c>
      <c r="C15" s="6">
        <v>4</v>
      </c>
      <c r="D15" s="6">
        <v>5</v>
      </c>
      <c r="E15" s="6">
        <v>4</v>
      </c>
      <c r="F15" s="6">
        <v>2</v>
      </c>
      <c r="G15" s="6">
        <v>5</v>
      </c>
      <c r="H15" s="6">
        <v>4</v>
      </c>
      <c r="I15" s="6">
        <v>4</v>
      </c>
      <c r="J15" s="3" t="s">
        <v>58</v>
      </c>
      <c r="K15" s="3" t="s">
        <v>59</v>
      </c>
    </row>
    <row r="16" spans="1:11" ht="280" x14ac:dyDescent="0.2">
      <c r="A16" s="1" t="s">
        <v>60</v>
      </c>
      <c r="B16" s="11" t="s">
        <v>61</v>
      </c>
      <c r="C16" s="6">
        <v>5</v>
      </c>
      <c r="D16" s="6">
        <v>4</v>
      </c>
      <c r="E16" s="6">
        <v>2</v>
      </c>
      <c r="F16" s="6">
        <v>2</v>
      </c>
      <c r="G16" s="6">
        <v>5</v>
      </c>
      <c r="H16" s="6">
        <v>5</v>
      </c>
      <c r="I16" s="6">
        <v>5</v>
      </c>
      <c r="J16" s="3" t="s">
        <v>62</v>
      </c>
      <c r="K16" s="3" t="s">
        <v>63</v>
      </c>
    </row>
    <row r="17" spans="1:11" ht="400" hidden="1" x14ac:dyDescent="0.2">
      <c r="A17" s="1" t="s">
        <v>64</v>
      </c>
      <c r="B17" s="11" t="s">
        <v>65</v>
      </c>
      <c r="C17" s="6">
        <v>4</v>
      </c>
      <c r="D17" s="6">
        <v>1</v>
      </c>
      <c r="E17" s="6">
        <v>1</v>
      </c>
      <c r="F17" s="6">
        <v>1</v>
      </c>
      <c r="G17" s="6">
        <v>2</v>
      </c>
      <c r="H17" s="6">
        <v>1</v>
      </c>
      <c r="I17" s="6">
        <v>2</v>
      </c>
      <c r="J17" s="3" t="s">
        <v>13</v>
      </c>
      <c r="K17" s="3" t="s">
        <v>66</v>
      </c>
    </row>
    <row r="18" spans="1:11" ht="400" hidden="1" x14ac:dyDescent="0.2">
      <c r="A18" s="1" t="s">
        <v>67</v>
      </c>
      <c r="B18" s="11" t="s">
        <v>12</v>
      </c>
      <c r="C18" s="6">
        <v>4</v>
      </c>
      <c r="D18" s="6">
        <v>1</v>
      </c>
      <c r="E18" s="6">
        <v>1</v>
      </c>
      <c r="F18" s="6">
        <v>1</v>
      </c>
      <c r="G18" s="6">
        <v>2</v>
      </c>
      <c r="H18" s="6">
        <v>1</v>
      </c>
      <c r="I18" s="6">
        <v>2</v>
      </c>
      <c r="J18" s="3" t="s">
        <v>13</v>
      </c>
      <c r="K18" s="3" t="s">
        <v>68</v>
      </c>
    </row>
    <row r="19" spans="1:11" ht="409.6" x14ac:dyDescent="0.2">
      <c r="A19" s="1" t="s">
        <v>69</v>
      </c>
      <c r="B19" s="11" t="s">
        <v>23</v>
      </c>
      <c r="C19" s="6">
        <v>4</v>
      </c>
      <c r="D19" s="6">
        <v>5</v>
      </c>
      <c r="E19" s="6">
        <v>4</v>
      </c>
      <c r="F19" s="6">
        <v>3</v>
      </c>
      <c r="G19" s="6">
        <v>5</v>
      </c>
      <c r="H19" s="6">
        <v>5</v>
      </c>
      <c r="I19" s="6">
        <v>4</v>
      </c>
      <c r="J19" s="3" t="s">
        <v>70</v>
      </c>
      <c r="K19" s="3" t="s">
        <v>71</v>
      </c>
    </row>
    <row r="20" spans="1:11" ht="409.6" x14ac:dyDescent="0.2">
      <c r="A20" s="1" t="s">
        <v>72</v>
      </c>
      <c r="B20" s="11" t="s">
        <v>54</v>
      </c>
      <c r="C20" s="6">
        <v>4</v>
      </c>
      <c r="D20" s="6">
        <v>5</v>
      </c>
      <c r="E20" s="6">
        <v>5</v>
      </c>
      <c r="F20" s="6">
        <v>2</v>
      </c>
      <c r="G20" s="6">
        <v>5</v>
      </c>
      <c r="H20" s="6">
        <v>5</v>
      </c>
      <c r="I20" s="6">
        <v>5</v>
      </c>
      <c r="J20" s="3" t="s">
        <v>73</v>
      </c>
      <c r="K20" s="3" t="s">
        <v>74</v>
      </c>
    </row>
    <row r="21" spans="1:11" ht="320" x14ac:dyDescent="0.2">
      <c r="A21" s="1" t="s">
        <v>75</v>
      </c>
      <c r="B21" s="11" t="s">
        <v>27</v>
      </c>
      <c r="C21" s="6">
        <v>4</v>
      </c>
      <c r="D21" s="6">
        <v>4</v>
      </c>
      <c r="E21" s="6">
        <v>3</v>
      </c>
      <c r="F21" s="6">
        <v>3</v>
      </c>
      <c r="G21" s="6">
        <v>5</v>
      </c>
      <c r="H21" s="6">
        <v>4</v>
      </c>
      <c r="I21" s="6">
        <v>4</v>
      </c>
      <c r="J21" s="3" t="s">
        <v>76</v>
      </c>
      <c r="K21" s="3" t="s">
        <v>77</v>
      </c>
    </row>
    <row r="22" spans="1:11" x14ac:dyDescent="0.2">
      <c r="A22" s="1"/>
      <c r="B22" s="11"/>
      <c r="C22" s="6"/>
      <c r="D22" s="6"/>
      <c r="E22" s="6"/>
      <c r="F22" s="6"/>
      <c r="G22" s="6"/>
      <c r="H22" s="6"/>
      <c r="I22" s="6"/>
      <c r="J22" s="3"/>
      <c r="K22" s="3"/>
    </row>
    <row r="23" spans="1:11" x14ac:dyDescent="0.2">
      <c r="A23" s="1"/>
      <c r="B23" s="11"/>
      <c r="C23" s="6"/>
      <c r="D23" s="6"/>
      <c r="E23" s="6"/>
      <c r="F23" s="6"/>
      <c r="G23" s="6"/>
      <c r="H23" s="6"/>
      <c r="I23" s="6"/>
      <c r="J23" s="3"/>
      <c r="K23" s="3" t="s">
        <v>78</v>
      </c>
    </row>
    <row r="24" spans="1:11" x14ac:dyDescent="0.2">
      <c r="A24" s="1"/>
      <c r="B24" s="11"/>
      <c r="C24" s="6"/>
      <c r="D24" s="6"/>
      <c r="E24" s="6"/>
      <c r="F24" s="6"/>
      <c r="G24" s="6"/>
      <c r="H24" s="6"/>
      <c r="I24" s="6"/>
      <c r="J24" s="3"/>
      <c r="K24" s="3"/>
    </row>
    <row r="25" spans="1:11" x14ac:dyDescent="0.2">
      <c r="A25" s="1"/>
      <c r="B25" s="11"/>
      <c r="C25" s="6"/>
      <c r="D25" s="6"/>
      <c r="E25" s="6"/>
      <c r="F25" s="6"/>
      <c r="G25" s="6"/>
      <c r="H25" s="6"/>
      <c r="I25" s="6"/>
      <c r="J25" s="3"/>
      <c r="K25" s="3" t="s">
        <v>79</v>
      </c>
    </row>
    <row r="26" spans="1:11" x14ac:dyDescent="0.2">
      <c r="A26" s="1"/>
      <c r="B26" s="11"/>
      <c r="C26" s="6"/>
      <c r="D26" s="6"/>
      <c r="E26" s="6"/>
      <c r="F26" s="6"/>
      <c r="G26" s="6"/>
      <c r="H26" s="6"/>
      <c r="I26" s="6"/>
      <c r="J26" s="3"/>
      <c r="K26" s="3" t="s">
        <v>80</v>
      </c>
    </row>
    <row r="27" spans="1:11" x14ac:dyDescent="0.2">
      <c r="A27" s="1"/>
      <c r="B27" s="11"/>
      <c r="C27" s="6"/>
      <c r="D27" s="6"/>
      <c r="E27" s="6"/>
      <c r="F27" s="6"/>
      <c r="G27" s="6"/>
      <c r="H27" s="6"/>
      <c r="I27" s="6"/>
      <c r="J27" s="3"/>
      <c r="K27" s="3" t="s">
        <v>81</v>
      </c>
    </row>
    <row r="28" spans="1:11" x14ac:dyDescent="0.2">
      <c r="A28" s="1"/>
      <c r="B28" s="11"/>
      <c r="C28" s="6"/>
      <c r="D28" s="6"/>
      <c r="E28" s="6"/>
      <c r="F28" s="6"/>
      <c r="G28" s="6"/>
      <c r="H28" s="6"/>
      <c r="I28" s="6"/>
      <c r="J28" s="3"/>
      <c r="K28" s="3" t="s">
        <v>82</v>
      </c>
    </row>
    <row r="29" spans="1:11" x14ac:dyDescent="0.2">
      <c r="A29" s="1"/>
      <c r="B29" s="11"/>
      <c r="C29" s="6"/>
      <c r="D29" s="6"/>
      <c r="E29" s="6"/>
      <c r="F29" s="6"/>
      <c r="G29" s="6"/>
      <c r="H29" s="6"/>
      <c r="I29" s="6"/>
      <c r="J29" s="3"/>
      <c r="K29" s="3" t="s">
        <v>83</v>
      </c>
    </row>
    <row r="30" spans="1:11" ht="40" x14ac:dyDescent="0.2">
      <c r="A30" s="1"/>
      <c r="B30" s="11"/>
      <c r="C30" s="6"/>
      <c r="D30" s="6"/>
      <c r="E30" s="6"/>
      <c r="F30" s="6"/>
      <c r="G30" s="6"/>
      <c r="H30" s="6"/>
      <c r="I30" s="6"/>
      <c r="J30" s="3"/>
      <c r="K30" s="3" t="s">
        <v>84</v>
      </c>
    </row>
    <row r="31" spans="1:11" x14ac:dyDescent="0.2">
      <c r="A31" s="1"/>
      <c r="B31" s="11"/>
      <c r="C31" s="6"/>
      <c r="D31" s="6"/>
      <c r="E31" s="6"/>
      <c r="F31" s="6"/>
      <c r="G31" s="6"/>
      <c r="H31" s="6"/>
      <c r="I31" s="6"/>
      <c r="J31" s="3"/>
      <c r="K31" s="3" t="s">
        <v>85</v>
      </c>
    </row>
    <row r="32" spans="1:11" x14ac:dyDescent="0.2">
      <c r="A32" s="1"/>
      <c r="B32" s="11"/>
      <c r="C32" s="6"/>
      <c r="D32" s="6"/>
      <c r="E32" s="6"/>
      <c r="F32" s="6"/>
      <c r="G32" s="6"/>
      <c r="H32" s="6"/>
      <c r="I32" s="6"/>
      <c r="J32" s="3"/>
      <c r="K32" s="3" t="s">
        <v>86</v>
      </c>
    </row>
    <row r="33" spans="1:11" ht="40" x14ac:dyDescent="0.2">
      <c r="A33" s="1"/>
      <c r="B33" s="11"/>
      <c r="C33" s="6"/>
      <c r="D33" s="6"/>
      <c r="E33" s="6"/>
      <c r="F33" s="6"/>
      <c r="G33" s="6"/>
      <c r="H33" s="6"/>
      <c r="I33" s="6"/>
      <c r="J33" s="3"/>
      <c r="K33" s="3" t="s">
        <v>87</v>
      </c>
    </row>
    <row r="34" spans="1:11" ht="40" x14ac:dyDescent="0.2">
      <c r="A34" s="1"/>
      <c r="B34" s="11"/>
      <c r="C34" s="6"/>
      <c r="D34" s="6"/>
      <c r="E34" s="6"/>
      <c r="F34" s="6"/>
      <c r="G34" s="6"/>
      <c r="H34" s="6"/>
      <c r="I34" s="6"/>
      <c r="J34" s="3"/>
      <c r="K34" s="3" t="s">
        <v>88</v>
      </c>
    </row>
    <row r="35" spans="1:11" x14ac:dyDescent="0.2">
      <c r="A35" s="1"/>
      <c r="B35" s="11"/>
      <c r="C35" s="6"/>
      <c r="D35" s="6"/>
      <c r="E35" s="6"/>
      <c r="F35" s="6"/>
      <c r="G35" s="6"/>
      <c r="H35" s="6"/>
      <c r="I35" s="6"/>
      <c r="J35" s="3"/>
      <c r="K35" s="3" t="s">
        <v>89</v>
      </c>
    </row>
    <row r="36" spans="1:11" x14ac:dyDescent="0.2">
      <c r="A36" s="1"/>
      <c r="B36" s="11"/>
      <c r="C36" s="6"/>
      <c r="D36" s="6"/>
      <c r="E36" s="6"/>
      <c r="F36" s="6"/>
      <c r="G36" s="6"/>
      <c r="H36" s="6"/>
      <c r="I36" s="6"/>
      <c r="J36" s="3"/>
      <c r="K36" s="3" t="s">
        <v>90</v>
      </c>
    </row>
    <row r="37" spans="1:11" x14ac:dyDescent="0.2">
      <c r="A37" s="1"/>
      <c r="B37" s="11"/>
      <c r="C37" s="6"/>
      <c r="D37" s="6"/>
      <c r="E37" s="6"/>
      <c r="F37" s="6"/>
      <c r="G37" s="6"/>
      <c r="H37" s="6"/>
      <c r="I37" s="6"/>
      <c r="J37" s="3"/>
      <c r="K37" s="3" t="s">
        <v>91</v>
      </c>
    </row>
    <row r="38" spans="1:11" x14ac:dyDescent="0.2">
      <c r="A38" s="1"/>
      <c r="B38" s="11"/>
      <c r="C38" s="6"/>
      <c r="D38" s="6"/>
      <c r="E38" s="6"/>
      <c r="F38" s="6"/>
      <c r="G38" s="6"/>
      <c r="H38" s="6"/>
      <c r="I38" s="6"/>
      <c r="J38" s="3"/>
      <c r="K38" s="3" t="s">
        <v>92</v>
      </c>
    </row>
    <row r="39" spans="1:11" x14ac:dyDescent="0.2">
      <c r="A39" s="1"/>
      <c r="B39" s="11"/>
      <c r="C39" s="6"/>
      <c r="D39" s="6"/>
      <c r="E39" s="6"/>
      <c r="F39" s="6"/>
      <c r="G39" s="6"/>
      <c r="H39" s="6"/>
      <c r="I39" s="6"/>
      <c r="J39" s="3"/>
      <c r="K39" s="3" t="s">
        <v>93</v>
      </c>
    </row>
    <row r="40" spans="1:11" x14ac:dyDescent="0.2">
      <c r="A40" s="1"/>
      <c r="B40" s="11"/>
      <c r="C40" s="6"/>
      <c r="D40" s="6"/>
      <c r="E40" s="6"/>
      <c r="F40" s="6"/>
      <c r="G40" s="6"/>
      <c r="H40" s="6"/>
      <c r="I40" s="6"/>
      <c r="J40" s="3"/>
      <c r="K40" s="3"/>
    </row>
    <row r="41" spans="1:11" ht="160" x14ac:dyDescent="0.2">
      <c r="A41" s="1"/>
      <c r="B41" s="11"/>
      <c r="C41" s="6"/>
      <c r="D41" s="6"/>
      <c r="E41" s="6"/>
      <c r="F41" s="6"/>
      <c r="G41" s="6"/>
      <c r="H41" s="6"/>
      <c r="I41" s="6"/>
      <c r="J41" s="3"/>
      <c r="K41" s="3" t="s">
        <v>94</v>
      </c>
    </row>
    <row r="42" spans="1:11" x14ac:dyDescent="0.2">
      <c r="A42" s="1"/>
      <c r="B42" s="11"/>
      <c r="C42" s="6"/>
      <c r="D42" s="6"/>
      <c r="E42" s="6"/>
      <c r="F42" s="6"/>
      <c r="G42" s="6"/>
      <c r="H42" s="6"/>
      <c r="I42" s="6"/>
      <c r="J42" s="3"/>
      <c r="K42" s="3"/>
    </row>
    <row r="43" spans="1:11" ht="120" x14ac:dyDescent="0.2">
      <c r="A43" s="1"/>
      <c r="B43" s="11"/>
      <c r="C43" s="6"/>
      <c r="D43" s="6"/>
      <c r="E43" s="6"/>
      <c r="F43" s="6"/>
      <c r="G43" s="6"/>
      <c r="H43" s="6"/>
      <c r="I43" s="6"/>
      <c r="J43" s="3"/>
      <c r="K43" s="3" t="s">
        <v>95</v>
      </c>
    </row>
    <row r="44" spans="1:11" ht="320" x14ac:dyDescent="0.2">
      <c r="A44" s="1" t="s">
        <v>96</v>
      </c>
      <c r="B44" s="11" t="s">
        <v>97</v>
      </c>
      <c r="C44" s="6">
        <v>4</v>
      </c>
      <c r="D44" s="6">
        <v>5</v>
      </c>
      <c r="E44" s="6">
        <v>4</v>
      </c>
      <c r="F44" s="6">
        <v>2</v>
      </c>
      <c r="G44" s="6">
        <v>5</v>
      </c>
      <c r="H44" s="6">
        <v>5</v>
      </c>
      <c r="I44" s="6">
        <v>5</v>
      </c>
      <c r="J44" s="3" t="s">
        <v>98</v>
      </c>
      <c r="K44" s="3" t="s">
        <v>99</v>
      </c>
    </row>
    <row r="45" spans="1:11" x14ac:dyDescent="0.2">
      <c r="A45" s="1"/>
      <c r="B45" s="11"/>
      <c r="C45" s="6"/>
      <c r="D45" s="6"/>
      <c r="E45" s="6"/>
      <c r="F45" s="6"/>
      <c r="G45" s="6"/>
      <c r="H45" s="6"/>
      <c r="I45" s="6"/>
      <c r="J45" s="3"/>
      <c r="K45" s="3"/>
    </row>
    <row r="46" spans="1:11" ht="40" x14ac:dyDescent="0.2">
      <c r="A46" s="1"/>
      <c r="B46" s="11"/>
      <c r="C46" s="6"/>
      <c r="D46" s="6"/>
      <c r="E46" s="6"/>
      <c r="F46" s="6"/>
      <c r="G46" s="6"/>
      <c r="H46" s="6"/>
      <c r="I46" s="6"/>
      <c r="J46" s="3"/>
      <c r="K46" s="3" t="s">
        <v>100</v>
      </c>
    </row>
    <row r="47" spans="1:11" x14ac:dyDescent="0.2">
      <c r="A47" s="1"/>
      <c r="B47" s="11"/>
      <c r="C47" s="6"/>
      <c r="D47" s="6"/>
      <c r="E47" s="6"/>
      <c r="F47" s="6"/>
      <c r="G47" s="6"/>
      <c r="H47" s="6"/>
      <c r="I47" s="6"/>
      <c r="J47" s="3"/>
      <c r="K47" s="3"/>
    </row>
    <row r="48" spans="1:11" x14ac:dyDescent="0.2">
      <c r="A48" s="1"/>
      <c r="B48" s="11"/>
      <c r="C48" s="6"/>
      <c r="D48" s="6"/>
      <c r="E48" s="6"/>
      <c r="F48" s="6"/>
      <c r="G48" s="6"/>
      <c r="H48" s="6"/>
      <c r="I48" s="6"/>
      <c r="J48" s="3"/>
      <c r="K48" s="3" t="s">
        <v>101</v>
      </c>
    </row>
    <row r="49" spans="1:11" x14ac:dyDescent="0.2">
      <c r="A49" s="1"/>
      <c r="B49" s="11"/>
      <c r="C49" s="6"/>
      <c r="D49" s="6"/>
      <c r="E49" s="6"/>
      <c r="F49" s="6"/>
      <c r="G49" s="6"/>
      <c r="H49" s="6"/>
      <c r="I49" s="6"/>
      <c r="J49" s="3"/>
      <c r="K49" s="3" t="s">
        <v>102</v>
      </c>
    </row>
    <row r="50" spans="1:11" x14ac:dyDescent="0.2">
      <c r="A50" s="1"/>
      <c r="B50" s="11"/>
      <c r="C50" s="6"/>
      <c r="D50" s="6"/>
      <c r="E50" s="6"/>
      <c r="F50" s="6"/>
      <c r="G50" s="6"/>
      <c r="H50" s="6"/>
      <c r="I50" s="6"/>
      <c r="J50" s="3"/>
      <c r="K50" s="3" t="s">
        <v>103</v>
      </c>
    </row>
    <row r="51" spans="1:11" x14ac:dyDescent="0.2">
      <c r="A51" s="1"/>
      <c r="B51" s="11"/>
      <c r="C51" s="6"/>
      <c r="D51" s="6"/>
      <c r="E51" s="6"/>
      <c r="F51" s="6"/>
      <c r="G51" s="6"/>
      <c r="H51" s="6"/>
      <c r="I51" s="6"/>
      <c r="J51" s="3"/>
      <c r="K51" s="3" t="s">
        <v>104</v>
      </c>
    </row>
    <row r="52" spans="1:11" x14ac:dyDescent="0.2">
      <c r="A52" s="1"/>
      <c r="B52" s="11"/>
      <c r="C52" s="6"/>
      <c r="D52" s="6"/>
      <c r="E52" s="6"/>
      <c r="F52" s="6"/>
      <c r="G52" s="6"/>
      <c r="H52" s="6"/>
      <c r="I52" s="6"/>
      <c r="J52" s="3"/>
      <c r="K52" s="3" t="s">
        <v>105</v>
      </c>
    </row>
    <row r="53" spans="1:11" x14ac:dyDescent="0.2">
      <c r="A53" s="1"/>
      <c r="B53" s="11"/>
      <c r="C53" s="6"/>
      <c r="D53" s="6"/>
      <c r="E53" s="6"/>
      <c r="F53" s="6"/>
      <c r="G53" s="6"/>
      <c r="H53" s="6"/>
      <c r="I53" s="6"/>
      <c r="J53" s="3"/>
      <c r="K53" s="3" t="s">
        <v>106</v>
      </c>
    </row>
    <row r="54" spans="1:11" x14ac:dyDescent="0.2">
      <c r="A54" s="1"/>
      <c r="B54" s="11"/>
      <c r="C54" s="6"/>
      <c r="D54" s="6"/>
      <c r="E54" s="6"/>
      <c r="F54" s="6"/>
      <c r="G54" s="6"/>
      <c r="H54" s="6"/>
      <c r="I54" s="6"/>
      <c r="J54" s="3"/>
      <c r="K54" s="3" t="s">
        <v>107</v>
      </c>
    </row>
    <row r="55" spans="1:11" x14ac:dyDescent="0.2">
      <c r="A55" s="1"/>
      <c r="B55" s="11"/>
      <c r="C55" s="6"/>
      <c r="D55" s="6"/>
      <c r="E55" s="6"/>
      <c r="F55" s="6"/>
      <c r="G55" s="6"/>
      <c r="H55" s="6"/>
      <c r="I55" s="6"/>
      <c r="J55" s="3"/>
      <c r="K55" s="3" t="s">
        <v>108</v>
      </c>
    </row>
    <row r="56" spans="1:11" x14ac:dyDescent="0.2">
      <c r="A56" s="1"/>
      <c r="B56" s="11"/>
      <c r="C56" s="6"/>
      <c r="D56" s="6"/>
      <c r="E56" s="6"/>
      <c r="F56" s="6"/>
      <c r="G56" s="6"/>
      <c r="H56" s="6"/>
      <c r="I56" s="6"/>
      <c r="J56" s="3"/>
      <c r="K56" s="3" t="s">
        <v>109</v>
      </c>
    </row>
    <row r="57" spans="1:11" x14ac:dyDescent="0.2">
      <c r="A57" s="1"/>
      <c r="B57" s="11"/>
      <c r="C57" s="6"/>
      <c r="D57" s="6"/>
      <c r="E57" s="6"/>
      <c r="F57" s="6"/>
      <c r="G57" s="6"/>
      <c r="H57" s="6"/>
      <c r="I57" s="6"/>
      <c r="J57" s="3"/>
      <c r="K57" s="3" t="s">
        <v>110</v>
      </c>
    </row>
    <row r="58" spans="1:11" x14ac:dyDescent="0.2">
      <c r="A58" s="1"/>
      <c r="B58" s="11"/>
      <c r="C58" s="6"/>
      <c r="D58" s="6"/>
      <c r="E58" s="6"/>
      <c r="F58" s="6"/>
      <c r="G58" s="6"/>
      <c r="H58" s="6"/>
      <c r="I58" s="6"/>
      <c r="J58" s="3"/>
      <c r="K58" s="3" t="s">
        <v>111</v>
      </c>
    </row>
    <row r="59" spans="1:11" x14ac:dyDescent="0.2">
      <c r="A59" s="1"/>
      <c r="B59" s="11"/>
      <c r="C59" s="6"/>
      <c r="D59" s="6"/>
      <c r="E59" s="6"/>
      <c r="F59" s="6"/>
      <c r="G59" s="6"/>
      <c r="H59" s="6"/>
      <c r="I59" s="6"/>
      <c r="J59" s="3"/>
      <c r="K59" s="3"/>
    </row>
    <row r="60" spans="1:11" ht="200" x14ac:dyDescent="0.2">
      <c r="A60" s="1"/>
      <c r="B60" s="11"/>
      <c r="C60" s="6"/>
      <c r="D60" s="6"/>
      <c r="E60" s="6"/>
      <c r="F60" s="6"/>
      <c r="G60" s="6"/>
      <c r="H60" s="6"/>
      <c r="I60" s="6"/>
      <c r="J60" s="3"/>
      <c r="K60" s="3" t="s">
        <v>112</v>
      </c>
    </row>
    <row r="61" spans="1:11" ht="380" x14ac:dyDescent="0.2">
      <c r="A61" s="1" t="s">
        <v>113</v>
      </c>
      <c r="B61" s="11" t="s">
        <v>37</v>
      </c>
      <c r="C61" s="6">
        <v>5</v>
      </c>
      <c r="D61" s="6">
        <v>3</v>
      </c>
      <c r="E61" s="6">
        <v>5</v>
      </c>
      <c r="F61" s="6">
        <v>2</v>
      </c>
      <c r="G61" s="6">
        <v>5</v>
      </c>
      <c r="H61" s="6">
        <v>5</v>
      </c>
      <c r="I61" s="6">
        <v>5</v>
      </c>
      <c r="J61" s="3" t="s">
        <v>114</v>
      </c>
      <c r="K61" s="3" t="s">
        <v>115</v>
      </c>
    </row>
    <row r="62" spans="1:11" x14ac:dyDescent="0.2">
      <c r="A62" s="1"/>
      <c r="B62" s="11"/>
      <c r="C62" s="6"/>
      <c r="D62" s="6"/>
      <c r="E62" s="6"/>
      <c r="F62" s="6"/>
      <c r="G62" s="6"/>
      <c r="H62" s="6"/>
      <c r="I62" s="6"/>
      <c r="J62" s="3"/>
      <c r="K62" s="3"/>
    </row>
    <row r="63" spans="1:11" x14ac:dyDescent="0.2">
      <c r="A63" s="1"/>
      <c r="B63" s="11"/>
      <c r="C63" s="6"/>
      <c r="D63" s="6"/>
      <c r="E63" s="6"/>
      <c r="F63" s="6"/>
      <c r="G63" s="6"/>
      <c r="H63" s="6"/>
      <c r="I63" s="6"/>
      <c r="J63" s="3"/>
      <c r="K63" s="3" t="s">
        <v>116</v>
      </c>
    </row>
    <row r="64" spans="1:11" x14ac:dyDescent="0.2">
      <c r="A64" s="1"/>
      <c r="B64" s="11"/>
      <c r="C64" s="6"/>
      <c r="D64" s="6"/>
      <c r="E64" s="6"/>
      <c r="F64" s="6"/>
      <c r="G64" s="6"/>
      <c r="H64" s="6"/>
      <c r="I64" s="6"/>
      <c r="J64" s="3"/>
      <c r="K64" s="3" t="s">
        <v>117</v>
      </c>
    </row>
    <row r="65" spans="1:11" x14ac:dyDescent="0.2">
      <c r="A65" s="1"/>
      <c r="B65" s="11"/>
      <c r="C65" s="6"/>
      <c r="D65" s="6"/>
      <c r="E65" s="6"/>
      <c r="F65" s="6"/>
      <c r="G65" s="6"/>
      <c r="H65" s="6"/>
      <c r="I65" s="6"/>
      <c r="J65" s="3"/>
      <c r="K65" s="3" t="s">
        <v>118</v>
      </c>
    </row>
    <row r="66" spans="1:11" ht="40" x14ac:dyDescent="0.2">
      <c r="A66" s="1"/>
      <c r="B66" s="11"/>
      <c r="C66" s="6"/>
      <c r="D66" s="6"/>
      <c r="E66" s="6"/>
      <c r="F66" s="6"/>
      <c r="G66" s="6"/>
      <c r="H66" s="6"/>
      <c r="I66" s="6"/>
      <c r="J66" s="3"/>
      <c r="K66" s="3" t="s">
        <v>119</v>
      </c>
    </row>
    <row r="67" spans="1:11" ht="40" x14ac:dyDescent="0.2">
      <c r="A67" s="1"/>
      <c r="B67" s="11"/>
      <c r="C67" s="6"/>
      <c r="D67" s="6"/>
      <c r="E67" s="6"/>
      <c r="F67" s="6"/>
      <c r="G67" s="6"/>
      <c r="H67" s="6"/>
      <c r="I67" s="6"/>
      <c r="J67" s="3"/>
      <c r="K67" s="3" t="s">
        <v>120</v>
      </c>
    </row>
    <row r="68" spans="1:11" x14ac:dyDescent="0.2">
      <c r="A68" s="1"/>
      <c r="B68" s="11"/>
      <c r="C68" s="6"/>
      <c r="D68" s="6"/>
      <c r="E68" s="6"/>
      <c r="F68" s="6"/>
      <c r="G68" s="6"/>
      <c r="H68" s="6"/>
      <c r="I68" s="6"/>
      <c r="J68" s="3"/>
      <c r="K68" s="3"/>
    </row>
    <row r="69" spans="1:11" ht="100" x14ac:dyDescent="0.2">
      <c r="A69" s="1"/>
      <c r="B69" s="11"/>
      <c r="C69" s="6"/>
      <c r="D69" s="6"/>
      <c r="E69" s="6"/>
      <c r="F69" s="6"/>
      <c r="G69" s="6"/>
      <c r="H69" s="6"/>
      <c r="I69" s="6"/>
      <c r="J69" s="3"/>
      <c r="K69" s="3" t="s">
        <v>121</v>
      </c>
    </row>
    <row r="70" spans="1:11" ht="260" x14ac:dyDescent="0.2">
      <c r="A70" s="1" t="s">
        <v>122</v>
      </c>
      <c r="B70" s="11" t="s">
        <v>123</v>
      </c>
      <c r="C70" s="6">
        <v>5</v>
      </c>
      <c r="D70" s="6">
        <v>4</v>
      </c>
      <c r="E70" s="6">
        <v>5</v>
      </c>
      <c r="F70" s="6">
        <v>3</v>
      </c>
      <c r="G70" s="6">
        <v>5</v>
      </c>
      <c r="H70" s="6">
        <v>5</v>
      </c>
      <c r="I70" s="6">
        <v>5</v>
      </c>
      <c r="J70" s="3" t="s">
        <v>124</v>
      </c>
      <c r="K70" s="3" t="s">
        <v>125</v>
      </c>
    </row>
    <row r="71" spans="1:11" ht="380" hidden="1" x14ac:dyDescent="0.2">
      <c r="A71" s="1" t="s">
        <v>126</v>
      </c>
      <c r="B71" s="11" t="s">
        <v>12</v>
      </c>
      <c r="C71" s="6">
        <v>4</v>
      </c>
      <c r="D71" s="6">
        <v>1</v>
      </c>
      <c r="E71" s="6">
        <v>1</v>
      </c>
      <c r="F71" s="6">
        <v>1</v>
      </c>
      <c r="G71" s="6">
        <v>2</v>
      </c>
      <c r="H71" s="6">
        <v>1</v>
      </c>
      <c r="I71" s="6">
        <v>2</v>
      </c>
      <c r="J71" s="3" t="s">
        <v>13</v>
      </c>
      <c r="K71" s="3" t="s">
        <v>127</v>
      </c>
    </row>
    <row r="72" spans="1:11" ht="380" x14ac:dyDescent="0.2">
      <c r="A72" s="1" t="s">
        <v>128</v>
      </c>
      <c r="B72" s="11" t="s">
        <v>27</v>
      </c>
      <c r="C72" s="6">
        <v>4</v>
      </c>
      <c r="D72" s="6">
        <v>5</v>
      </c>
      <c r="E72" s="6">
        <v>3</v>
      </c>
      <c r="F72" s="6">
        <v>3</v>
      </c>
      <c r="G72" s="6">
        <v>4</v>
      </c>
      <c r="H72" s="6">
        <v>4</v>
      </c>
      <c r="I72" s="6">
        <v>3</v>
      </c>
      <c r="J72" s="3" t="s">
        <v>129</v>
      </c>
      <c r="K72" s="3" t="s">
        <v>130</v>
      </c>
    </row>
    <row r="73" spans="1:11" x14ac:dyDescent="0.2">
      <c r="A73" s="1"/>
      <c r="B73" s="11"/>
      <c r="C73" s="6"/>
      <c r="D73" s="6"/>
      <c r="E73" s="6"/>
      <c r="F73" s="6"/>
      <c r="G73" s="6"/>
      <c r="H73" s="6"/>
      <c r="I73" s="6"/>
      <c r="J73" s="3"/>
      <c r="K73" s="3"/>
    </row>
    <row r="74" spans="1:11" ht="60" x14ac:dyDescent="0.2">
      <c r="A74" s="1"/>
      <c r="B74" s="11"/>
      <c r="C74" s="6"/>
      <c r="D74" s="6"/>
      <c r="E74" s="6"/>
      <c r="F74" s="6"/>
      <c r="G74" s="6"/>
      <c r="H74" s="6"/>
      <c r="I74" s="6"/>
      <c r="J74" s="3"/>
      <c r="K74" s="3" t="s">
        <v>131</v>
      </c>
    </row>
    <row r="75" spans="1:11" x14ac:dyDescent="0.2">
      <c r="A75" s="1"/>
      <c r="B75" s="11"/>
      <c r="C75" s="6"/>
      <c r="D75" s="6"/>
      <c r="E75" s="6"/>
      <c r="F75" s="6"/>
      <c r="G75" s="6"/>
      <c r="H75" s="6"/>
      <c r="I75" s="6"/>
      <c r="J75" s="3"/>
      <c r="K75" s="3"/>
    </row>
    <row r="76" spans="1:11" ht="60" x14ac:dyDescent="0.2">
      <c r="A76" s="1"/>
      <c r="B76" s="11"/>
      <c r="C76" s="6"/>
      <c r="D76" s="6"/>
      <c r="E76" s="6"/>
      <c r="F76" s="6"/>
      <c r="G76" s="6"/>
      <c r="H76" s="6"/>
      <c r="I76" s="6"/>
      <c r="J76" s="3"/>
      <c r="K76" s="3" t="s">
        <v>132</v>
      </c>
    </row>
    <row r="77" spans="1:11" ht="80" x14ac:dyDescent="0.2">
      <c r="A77" s="1"/>
      <c r="B77" s="11"/>
      <c r="C77" s="6"/>
      <c r="D77" s="6"/>
      <c r="E77" s="6"/>
      <c r="F77" s="6"/>
      <c r="G77" s="6"/>
      <c r="H77" s="6"/>
      <c r="I77" s="6"/>
      <c r="J77" s="3"/>
      <c r="K77" s="3" t="s">
        <v>133</v>
      </c>
    </row>
    <row r="78" spans="1:11" ht="60" x14ac:dyDescent="0.2">
      <c r="A78" s="1"/>
      <c r="B78" s="11"/>
      <c r="C78" s="6"/>
      <c r="D78" s="6"/>
      <c r="E78" s="6"/>
      <c r="F78" s="6"/>
      <c r="G78" s="6"/>
      <c r="H78" s="6"/>
      <c r="I78" s="6"/>
      <c r="J78" s="3"/>
      <c r="K78" s="3" t="s">
        <v>134</v>
      </c>
    </row>
    <row r="79" spans="1:11" x14ac:dyDescent="0.2">
      <c r="A79" s="1"/>
      <c r="B79" s="11"/>
      <c r="C79" s="6"/>
      <c r="D79" s="6"/>
      <c r="E79" s="6"/>
      <c r="F79" s="6"/>
      <c r="G79" s="6"/>
      <c r="H79" s="6"/>
      <c r="I79" s="6"/>
      <c r="J79" s="3"/>
      <c r="K79" s="3"/>
    </row>
    <row r="80" spans="1:11" ht="120" x14ac:dyDescent="0.2">
      <c r="A80" s="1"/>
      <c r="B80" s="11"/>
      <c r="C80" s="6"/>
      <c r="D80" s="6"/>
      <c r="E80" s="6"/>
      <c r="F80" s="6"/>
      <c r="G80" s="6"/>
      <c r="H80" s="6"/>
      <c r="I80" s="6"/>
      <c r="J80" s="3"/>
      <c r="K80" s="3" t="s">
        <v>135</v>
      </c>
    </row>
    <row r="81" spans="1:11" x14ac:dyDescent="0.2">
      <c r="A81" s="1"/>
      <c r="B81" s="11"/>
      <c r="C81" s="6"/>
      <c r="D81" s="6"/>
      <c r="E81" s="6"/>
      <c r="F81" s="6"/>
      <c r="G81" s="6"/>
      <c r="H81" s="6"/>
      <c r="I81" s="6"/>
      <c r="J81" s="3"/>
      <c r="K81" s="3"/>
    </row>
    <row r="82" spans="1:11" ht="140" x14ac:dyDescent="0.2">
      <c r="A82" s="1"/>
      <c r="B82" s="11"/>
      <c r="C82" s="6"/>
      <c r="D82" s="6"/>
      <c r="E82" s="6"/>
      <c r="F82" s="6"/>
      <c r="G82" s="6"/>
      <c r="H82" s="6"/>
      <c r="I82" s="6"/>
      <c r="J82" s="3"/>
      <c r="K82" s="3" t="s">
        <v>136</v>
      </c>
    </row>
    <row r="83" spans="1:11" ht="320" x14ac:dyDescent="0.2">
      <c r="A83" s="1" t="s">
        <v>137</v>
      </c>
      <c r="B83" s="11" t="s">
        <v>61</v>
      </c>
      <c r="C83" s="6">
        <v>4</v>
      </c>
      <c r="D83" s="6">
        <v>4</v>
      </c>
      <c r="E83" s="6">
        <v>4</v>
      </c>
      <c r="F83" s="6">
        <v>2</v>
      </c>
      <c r="G83" s="6">
        <v>5</v>
      </c>
      <c r="H83" s="6">
        <v>5</v>
      </c>
      <c r="I83" s="6">
        <v>5</v>
      </c>
      <c r="J83" s="3" t="s">
        <v>138</v>
      </c>
      <c r="K83" s="3" t="s">
        <v>139</v>
      </c>
    </row>
    <row r="84" spans="1:11" x14ac:dyDescent="0.2">
      <c r="A84" s="1"/>
      <c r="B84" s="11"/>
      <c r="C84" s="6"/>
      <c r="D84" s="6"/>
      <c r="E84" s="6"/>
      <c r="F84" s="6"/>
      <c r="G84" s="6"/>
      <c r="H84" s="6"/>
      <c r="I84" s="6"/>
      <c r="J84" s="3"/>
      <c r="K84" s="3"/>
    </row>
    <row r="85" spans="1:11" ht="60" x14ac:dyDescent="0.2">
      <c r="A85" s="1"/>
      <c r="B85" s="11"/>
      <c r="C85" s="6"/>
      <c r="D85" s="6"/>
      <c r="E85" s="6"/>
      <c r="F85" s="6"/>
      <c r="G85" s="6"/>
      <c r="H85" s="6"/>
      <c r="I85" s="6"/>
      <c r="J85" s="3"/>
      <c r="K85" s="3" t="s">
        <v>140</v>
      </c>
    </row>
    <row r="86" spans="1:11" ht="40" x14ac:dyDescent="0.2">
      <c r="A86" s="1"/>
      <c r="B86" s="11"/>
      <c r="C86" s="6"/>
      <c r="D86" s="6"/>
      <c r="E86" s="6"/>
      <c r="F86" s="6"/>
      <c r="G86" s="6"/>
      <c r="H86" s="6"/>
      <c r="I86" s="6"/>
      <c r="J86" s="3"/>
      <c r="K86" s="3" t="s">
        <v>141</v>
      </c>
    </row>
    <row r="87" spans="1:11" ht="40" x14ac:dyDescent="0.2">
      <c r="A87" s="1"/>
      <c r="B87" s="11"/>
      <c r="C87" s="6"/>
      <c r="D87" s="6"/>
      <c r="E87" s="6"/>
      <c r="F87" s="6"/>
      <c r="G87" s="6"/>
      <c r="H87" s="6"/>
      <c r="I87" s="6"/>
      <c r="J87" s="3"/>
      <c r="K87" s="3" t="s">
        <v>142</v>
      </c>
    </row>
    <row r="88" spans="1:11" x14ac:dyDescent="0.2">
      <c r="A88" s="1"/>
      <c r="B88" s="11"/>
      <c r="C88" s="6"/>
      <c r="D88" s="6"/>
      <c r="E88" s="6"/>
      <c r="F88" s="6"/>
      <c r="G88" s="6"/>
      <c r="H88" s="6"/>
      <c r="I88" s="6"/>
      <c r="J88" s="3"/>
      <c r="K88" s="3" t="s">
        <v>143</v>
      </c>
    </row>
    <row r="89" spans="1:11" x14ac:dyDescent="0.2">
      <c r="A89" s="1"/>
      <c r="B89" s="11"/>
      <c r="C89" s="6"/>
      <c r="D89" s="6"/>
      <c r="E89" s="6"/>
      <c r="F89" s="6"/>
      <c r="G89" s="6"/>
      <c r="H89" s="6"/>
      <c r="I89" s="6"/>
      <c r="J89" s="3"/>
      <c r="K89" s="3" t="s">
        <v>144</v>
      </c>
    </row>
    <row r="90" spans="1:11" ht="40" x14ac:dyDescent="0.2">
      <c r="A90" s="1"/>
      <c r="B90" s="11"/>
      <c r="C90" s="6"/>
      <c r="D90" s="6"/>
      <c r="E90" s="6"/>
      <c r="F90" s="6"/>
      <c r="G90" s="6"/>
      <c r="H90" s="6"/>
      <c r="I90" s="6"/>
      <c r="J90" s="3"/>
      <c r="K90" s="3" t="s">
        <v>145</v>
      </c>
    </row>
    <row r="91" spans="1:11" ht="40" x14ac:dyDescent="0.2">
      <c r="A91" s="1"/>
      <c r="B91" s="11"/>
      <c r="C91" s="6"/>
      <c r="D91" s="6"/>
      <c r="E91" s="6"/>
      <c r="F91" s="6"/>
      <c r="G91" s="6"/>
      <c r="H91" s="6"/>
      <c r="I91" s="6"/>
      <c r="J91" s="3"/>
      <c r="K91" s="3" t="s">
        <v>146</v>
      </c>
    </row>
    <row r="92" spans="1:11" x14ac:dyDescent="0.2">
      <c r="A92" s="1"/>
      <c r="B92" s="11"/>
      <c r="C92" s="6"/>
      <c r="D92" s="6"/>
      <c r="E92" s="6"/>
      <c r="F92" s="6"/>
      <c r="G92" s="6"/>
      <c r="H92" s="6"/>
      <c r="I92" s="6"/>
      <c r="J92" s="3"/>
      <c r="K92" s="3" t="s">
        <v>147</v>
      </c>
    </row>
    <row r="93" spans="1:11" x14ac:dyDescent="0.2">
      <c r="A93" s="1"/>
      <c r="B93" s="11"/>
      <c r="C93" s="6"/>
      <c r="D93" s="6"/>
      <c r="E93" s="6"/>
      <c r="F93" s="6"/>
      <c r="G93" s="6"/>
      <c r="H93" s="6"/>
      <c r="I93" s="6"/>
      <c r="J93" s="3"/>
      <c r="K93" s="3"/>
    </row>
    <row r="94" spans="1:11" ht="100" x14ac:dyDescent="0.2">
      <c r="A94" s="1"/>
      <c r="B94" s="11"/>
      <c r="C94" s="6"/>
      <c r="D94" s="6"/>
      <c r="E94" s="6"/>
      <c r="F94" s="6"/>
      <c r="G94" s="6"/>
      <c r="H94" s="6"/>
      <c r="I94" s="6"/>
      <c r="J94" s="3"/>
      <c r="K94" s="3" t="s">
        <v>148</v>
      </c>
    </row>
    <row r="95" spans="1:11" ht="220" x14ac:dyDescent="0.2">
      <c r="A95" s="1" t="s">
        <v>149</v>
      </c>
      <c r="B95" s="11" t="s">
        <v>123</v>
      </c>
      <c r="C95" s="6">
        <v>4</v>
      </c>
      <c r="D95" s="6">
        <v>4</v>
      </c>
      <c r="E95" s="6">
        <v>3</v>
      </c>
      <c r="F95" s="6">
        <v>2</v>
      </c>
      <c r="G95" s="6">
        <v>5</v>
      </c>
      <c r="H95" s="6">
        <v>5</v>
      </c>
      <c r="I95" s="6">
        <v>5</v>
      </c>
      <c r="J95" s="3" t="s">
        <v>150</v>
      </c>
      <c r="K95" s="3" t="s">
        <v>151</v>
      </c>
    </row>
    <row r="96" spans="1:11" ht="280" x14ac:dyDescent="0.2">
      <c r="A96" s="1" t="s">
        <v>113</v>
      </c>
      <c r="B96" s="11" t="s">
        <v>97</v>
      </c>
      <c r="C96" s="6">
        <v>4</v>
      </c>
      <c r="D96" s="6">
        <v>5</v>
      </c>
      <c r="E96" s="6">
        <v>4</v>
      </c>
      <c r="F96" s="6">
        <v>3</v>
      </c>
      <c r="G96" s="6">
        <v>5</v>
      </c>
      <c r="H96" s="6">
        <v>5</v>
      </c>
      <c r="I96" s="6">
        <v>4</v>
      </c>
      <c r="J96" s="3" t="s">
        <v>152</v>
      </c>
      <c r="K96" s="3" t="s">
        <v>153</v>
      </c>
    </row>
    <row r="97" spans="1:11" x14ac:dyDescent="0.2">
      <c r="A97" s="1"/>
      <c r="B97" s="11"/>
      <c r="C97" s="6"/>
      <c r="D97" s="6"/>
      <c r="E97" s="6"/>
      <c r="F97" s="6"/>
      <c r="G97" s="6"/>
      <c r="H97" s="6"/>
      <c r="I97" s="6"/>
      <c r="J97" s="3"/>
      <c r="K97" s="3"/>
    </row>
    <row r="98" spans="1:11" ht="40" x14ac:dyDescent="0.2">
      <c r="A98" s="1"/>
      <c r="B98" s="11"/>
      <c r="C98" s="6"/>
      <c r="D98" s="6"/>
      <c r="E98" s="6"/>
      <c r="F98" s="6"/>
      <c r="G98" s="6"/>
      <c r="H98" s="6"/>
      <c r="I98" s="6"/>
      <c r="J98" s="3"/>
      <c r="K98" s="3" t="s">
        <v>100</v>
      </c>
    </row>
    <row r="99" spans="1:11" x14ac:dyDescent="0.2">
      <c r="A99" s="1"/>
      <c r="B99" s="11"/>
      <c r="C99" s="6"/>
      <c r="D99" s="6"/>
      <c r="E99" s="6"/>
      <c r="F99" s="6"/>
      <c r="G99" s="6"/>
      <c r="H99" s="6"/>
      <c r="I99" s="6"/>
      <c r="J99" s="3"/>
      <c r="K99" s="3"/>
    </row>
    <row r="100" spans="1:11" x14ac:dyDescent="0.2">
      <c r="A100" s="1"/>
      <c r="B100" s="11"/>
      <c r="C100" s="6"/>
      <c r="D100" s="6"/>
      <c r="E100" s="6"/>
      <c r="F100" s="6"/>
      <c r="G100" s="6"/>
      <c r="H100" s="6"/>
      <c r="I100" s="6"/>
      <c r="J100" s="3"/>
      <c r="K100" s="3" t="s">
        <v>154</v>
      </c>
    </row>
    <row r="101" spans="1:11" x14ac:dyDescent="0.2">
      <c r="A101" s="1"/>
      <c r="B101" s="11"/>
      <c r="C101" s="6"/>
      <c r="D101" s="6"/>
      <c r="E101" s="6"/>
      <c r="F101" s="6"/>
      <c r="G101" s="6"/>
      <c r="H101" s="6"/>
      <c r="I101" s="6"/>
      <c r="J101" s="3"/>
      <c r="K101" s="3" t="s">
        <v>155</v>
      </c>
    </row>
    <row r="102" spans="1:11" x14ac:dyDescent="0.2">
      <c r="A102" s="1"/>
      <c r="B102" s="11"/>
      <c r="C102" s="6"/>
      <c r="D102" s="6"/>
      <c r="E102" s="6"/>
      <c r="F102" s="6"/>
      <c r="G102" s="6"/>
      <c r="H102" s="6"/>
      <c r="I102" s="6"/>
      <c r="J102" s="3"/>
      <c r="K102" s="3" t="s">
        <v>156</v>
      </c>
    </row>
    <row r="103" spans="1:11" x14ac:dyDescent="0.2">
      <c r="A103" s="1"/>
      <c r="B103" s="11"/>
      <c r="C103" s="6"/>
      <c r="D103" s="6"/>
      <c r="E103" s="6"/>
      <c r="F103" s="6"/>
      <c r="G103" s="6"/>
      <c r="H103" s="6"/>
      <c r="I103" s="6"/>
      <c r="J103" s="3"/>
      <c r="K103" s="3" t="s">
        <v>157</v>
      </c>
    </row>
    <row r="104" spans="1:11" x14ac:dyDescent="0.2">
      <c r="A104" s="1"/>
      <c r="B104" s="11"/>
      <c r="C104" s="6"/>
      <c r="D104" s="6"/>
      <c r="E104" s="6"/>
      <c r="F104" s="6"/>
      <c r="G104" s="6"/>
      <c r="H104" s="6"/>
      <c r="I104" s="6"/>
      <c r="J104" s="3"/>
      <c r="K104" s="3" t="s">
        <v>158</v>
      </c>
    </row>
    <row r="105" spans="1:11" x14ac:dyDescent="0.2">
      <c r="A105" s="1"/>
      <c r="B105" s="11"/>
      <c r="C105" s="6"/>
      <c r="D105" s="6"/>
      <c r="E105" s="6"/>
      <c r="F105" s="6"/>
      <c r="G105" s="6"/>
      <c r="H105" s="6"/>
      <c r="I105" s="6"/>
      <c r="J105" s="3"/>
      <c r="K105" s="3" t="s">
        <v>159</v>
      </c>
    </row>
    <row r="106" spans="1:11" x14ac:dyDescent="0.2">
      <c r="A106" s="1"/>
      <c r="B106" s="11"/>
      <c r="C106" s="6"/>
      <c r="D106" s="6"/>
      <c r="E106" s="6"/>
      <c r="F106" s="6"/>
      <c r="G106" s="6"/>
      <c r="H106" s="6"/>
      <c r="I106" s="6"/>
      <c r="J106" s="3"/>
      <c r="K106" s="3" t="s">
        <v>160</v>
      </c>
    </row>
    <row r="107" spans="1:11" x14ac:dyDescent="0.2">
      <c r="A107" s="1"/>
      <c r="B107" s="11"/>
      <c r="C107" s="6"/>
      <c r="D107" s="6"/>
      <c r="E107" s="6"/>
      <c r="F107" s="6"/>
      <c r="G107" s="6"/>
      <c r="H107" s="6"/>
      <c r="I107" s="6"/>
      <c r="J107" s="3"/>
      <c r="K107" s="3" t="s">
        <v>161</v>
      </c>
    </row>
    <row r="108" spans="1:11" x14ac:dyDescent="0.2">
      <c r="A108" s="1"/>
      <c r="B108" s="11"/>
      <c r="C108" s="6"/>
      <c r="D108" s="6"/>
      <c r="E108" s="6"/>
      <c r="F108" s="6"/>
      <c r="G108" s="6"/>
      <c r="H108" s="6"/>
      <c r="I108" s="6"/>
      <c r="J108" s="3"/>
      <c r="K108" s="3" t="s">
        <v>162</v>
      </c>
    </row>
    <row r="109" spans="1:11" x14ac:dyDescent="0.2">
      <c r="A109" s="1"/>
      <c r="B109" s="11"/>
      <c r="C109" s="6"/>
      <c r="D109" s="6"/>
      <c r="E109" s="6"/>
      <c r="F109" s="6"/>
      <c r="G109" s="6"/>
      <c r="H109" s="6"/>
      <c r="I109" s="6"/>
      <c r="J109" s="3"/>
      <c r="K109" s="3" t="s">
        <v>163</v>
      </c>
    </row>
    <row r="110" spans="1:11" x14ac:dyDescent="0.2">
      <c r="A110" s="1"/>
      <c r="B110" s="11"/>
      <c r="C110" s="6"/>
      <c r="D110" s="6"/>
      <c r="E110" s="6"/>
      <c r="F110" s="6"/>
      <c r="G110" s="6"/>
      <c r="H110" s="6"/>
      <c r="I110" s="6"/>
      <c r="J110" s="3"/>
      <c r="K110" s="3"/>
    </row>
    <row r="111" spans="1:11" ht="180" x14ac:dyDescent="0.2">
      <c r="A111" s="1"/>
      <c r="B111" s="11"/>
      <c r="C111" s="6"/>
      <c r="D111" s="6"/>
      <c r="E111" s="6"/>
      <c r="F111" s="6"/>
      <c r="G111" s="6"/>
      <c r="H111" s="6"/>
      <c r="I111" s="6"/>
      <c r="J111" s="3"/>
      <c r="K111" s="3" t="s">
        <v>164</v>
      </c>
    </row>
    <row r="112" spans="1:11" x14ac:dyDescent="0.2">
      <c r="A112" s="1"/>
      <c r="B112" s="11"/>
      <c r="C112" s="6"/>
      <c r="D112" s="6"/>
      <c r="E112" s="6"/>
      <c r="F112" s="6"/>
      <c r="G112" s="6"/>
      <c r="H112" s="6"/>
      <c r="I112" s="6"/>
      <c r="J112" s="3"/>
      <c r="K112" s="3"/>
    </row>
    <row r="113" spans="1:11" ht="100" x14ac:dyDescent="0.2">
      <c r="A113" s="1"/>
      <c r="B113" s="11"/>
      <c r="C113" s="6"/>
      <c r="D113" s="6"/>
      <c r="E113" s="6"/>
      <c r="F113" s="6"/>
      <c r="G113" s="6"/>
      <c r="H113" s="6"/>
      <c r="I113" s="6"/>
      <c r="J113" s="3"/>
      <c r="K113" s="3" t="s">
        <v>165</v>
      </c>
    </row>
    <row r="114" spans="1:11" ht="400" hidden="1" x14ac:dyDescent="0.2">
      <c r="A114" s="1" t="s">
        <v>166</v>
      </c>
      <c r="B114" s="11" t="s">
        <v>65</v>
      </c>
      <c r="C114" s="6">
        <v>4</v>
      </c>
      <c r="D114" s="6">
        <v>1</v>
      </c>
      <c r="E114" s="6">
        <v>1</v>
      </c>
      <c r="F114" s="6">
        <v>1</v>
      </c>
      <c r="G114" s="6">
        <v>2</v>
      </c>
      <c r="H114" s="6">
        <v>5</v>
      </c>
      <c r="I114" s="6">
        <v>2</v>
      </c>
      <c r="J114" s="3" t="s">
        <v>13</v>
      </c>
      <c r="K114" s="3" t="s">
        <v>167</v>
      </c>
    </row>
    <row r="115" spans="1:11" ht="340" x14ac:dyDescent="0.2">
      <c r="A115" s="1" t="s">
        <v>60</v>
      </c>
      <c r="B115" s="11" t="s">
        <v>168</v>
      </c>
      <c r="C115" s="6">
        <v>4</v>
      </c>
      <c r="D115" s="6">
        <v>2</v>
      </c>
      <c r="E115" s="6">
        <v>1</v>
      </c>
      <c r="F115" s="6">
        <v>1</v>
      </c>
      <c r="G115" s="6">
        <v>5</v>
      </c>
      <c r="H115" s="6">
        <v>4</v>
      </c>
      <c r="I115" s="6">
        <v>5</v>
      </c>
      <c r="J115" s="3" t="s">
        <v>169</v>
      </c>
      <c r="K115" s="3" t="s">
        <v>170</v>
      </c>
    </row>
    <row r="116" spans="1:11" ht="340" x14ac:dyDescent="0.2">
      <c r="A116" s="1" t="s">
        <v>171</v>
      </c>
      <c r="B116" s="11" t="s">
        <v>23</v>
      </c>
      <c r="C116" s="6">
        <v>4</v>
      </c>
      <c r="D116" s="6">
        <v>5</v>
      </c>
      <c r="E116" s="6">
        <v>4</v>
      </c>
      <c r="F116" s="6">
        <v>3</v>
      </c>
      <c r="G116" s="6">
        <v>5</v>
      </c>
      <c r="H116" s="6">
        <v>5</v>
      </c>
      <c r="I116" s="6">
        <v>4</v>
      </c>
      <c r="J116" s="3" t="s">
        <v>172</v>
      </c>
      <c r="K116" s="3" t="s">
        <v>173</v>
      </c>
    </row>
    <row r="117" spans="1:11" x14ac:dyDescent="0.2">
      <c r="A117" s="1"/>
      <c r="B117" s="11"/>
      <c r="C117" s="6"/>
      <c r="D117" s="6"/>
      <c r="E117" s="6"/>
      <c r="F117" s="6"/>
      <c r="G117" s="6"/>
      <c r="H117" s="6"/>
      <c r="I117" s="6"/>
      <c r="J117" s="3"/>
      <c r="K117" s="3"/>
    </row>
    <row r="118" spans="1:11" ht="40" x14ac:dyDescent="0.2">
      <c r="A118" s="1"/>
      <c r="B118" s="11"/>
      <c r="C118" s="6"/>
      <c r="D118" s="6"/>
      <c r="E118" s="6"/>
      <c r="F118" s="6"/>
      <c r="G118" s="6"/>
      <c r="H118" s="6"/>
      <c r="I118" s="6"/>
      <c r="J118" s="3"/>
      <c r="K118" s="3" t="s">
        <v>174</v>
      </c>
    </row>
    <row r="119" spans="1:11" x14ac:dyDescent="0.2">
      <c r="A119" s="1"/>
      <c r="B119" s="11"/>
      <c r="C119" s="6"/>
      <c r="D119" s="6"/>
      <c r="E119" s="6"/>
      <c r="F119" s="6"/>
      <c r="G119" s="6"/>
      <c r="H119" s="6"/>
      <c r="I119" s="6"/>
      <c r="J119" s="3"/>
      <c r="K119" s="3"/>
    </row>
    <row r="120" spans="1:11" x14ac:dyDescent="0.2">
      <c r="A120" s="1"/>
      <c r="B120" s="11"/>
      <c r="C120" s="6"/>
      <c r="D120" s="6"/>
      <c r="E120" s="6"/>
      <c r="F120" s="6"/>
      <c r="G120" s="6"/>
      <c r="H120" s="6"/>
      <c r="I120" s="6"/>
      <c r="J120" s="3"/>
      <c r="K120" s="3" t="s">
        <v>175</v>
      </c>
    </row>
    <row r="121" spans="1:11" x14ac:dyDescent="0.2">
      <c r="A121" s="1"/>
      <c r="B121" s="11"/>
      <c r="C121" s="6"/>
      <c r="D121" s="6"/>
      <c r="E121" s="6"/>
      <c r="F121" s="6"/>
      <c r="G121" s="6"/>
      <c r="H121" s="6"/>
      <c r="I121" s="6"/>
      <c r="J121" s="3"/>
      <c r="K121" s="3" t="s">
        <v>176</v>
      </c>
    </row>
    <row r="122" spans="1:11" x14ac:dyDescent="0.2">
      <c r="A122" s="1"/>
      <c r="B122" s="11"/>
      <c r="C122" s="6"/>
      <c r="D122" s="6"/>
      <c r="E122" s="6"/>
      <c r="F122" s="6"/>
      <c r="G122" s="6"/>
      <c r="H122" s="6"/>
      <c r="I122" s="6"/>
      <c r="J122" s="3"/>
      <c r="K122" s="3" t="s">
        <v>177</v>
      </c>
    </row>
    <row r="123" spans="1:11" x14ac:dyDescent="0.2">
      <c r="A123" s="1"/>
      <c r="B123" s="11"/>
      <c r="C123" s="6"/>
      <c r="D123" s="6"/>
      <c r="E123" s="6"/>
      <c r="F123" s="6"/>
      <c r="G123" s="6"/>
      <c r="H123" s="6"/>
      <c r="I123" s="6"/>
      <c r="J123" s="3"/>
      <c r="K123" s="3" t="s">
        <v>178</v>
      </c>
    </row>
    <row r="124" spans="1:11" x14ac:dyDescent="0.2">
      <c r="A124" s="1"/>
      <c r="B124" s="11"/>
      <c r="C124" s="6"/>
      <c r="D124" s="6"/>
      <c r="E124" s="6"/>
      <c r="F124" s="6"/>
      <c r="G124" s="6"/>
      <c r="H124" s="6"/>
      <c r="I124" s="6"/>
      <c r="J124" s="3"/>
      <c r="K124" s="3" t="s">
        <v>179</v>
      </c>
    </row>
    <row r="125" spans="1:11" x14ac:dyDescent="0.2">
      <c r="A125" s="1"/>
      <c r="B125" s="11"/>
      <c r="C125" s="6"/>
      <c r="D125" s="6"/>
      <c r="E125" s="6"/>
      <c r="F125" s="6"/>
      <c r="G125" s="6"/>
      <c r="H125" s="6"/>
      <c r="I125" s="6"/>
      <c r="J125" s="3"/>
      <c r="K125" s="3"/>
    </row>
    <row r="126" spans="1:11" ht="100" x14ac:dyDescent="0.2">
      <c r="A126" s="1"/>
      <c r="B126" s="11"/>
      <c r="C126" s="6"/>
      <c r="D126" s="6"/>
      <c r="E126" s="6"/>
      <c r="F126" s="6"/>
      <c r="G126" s="6"/>
      <c r="H126" s="6"/>
      <c r="I126" s="6"/>
      <c r="J126" s="3"/>
      <c r="K126" s="3" t="s">
        <v>180</v>
      </c>
    </row>
    <row r="127" spans="1:11" x14ac:dyDescent="0.2">
      <c r="A127" s="1"/>
      <c r="B127" s="11"/>
      <c r="C127" s="6"/>
      <c r="D127" s="6"/>
      <c r="E127" s="6"/>
      <c r="F127" s="6"/>
      <c r="G127" s="6"/>
      <c r="H127" s="6"/>
      <c r="I127" s="6"/>
      <c r="J127" s="3"/>
      <c r="K127" s="3"/>
    </row>
    <row r="128" spans="1:11" ht="120" x14ac:dyDescent="0.2">
      <c r="A128" s="1"/>
      <c r="B128" s="11"/>
      <c r="C128" s="6"/>
      <c r="D128" s="6"/>
      <c r="E128" s="6"/>
      <c r="F128" s="6"/>
      <c r="G128" s="6"/>
      <c r="H128" s="6"/>
      <c r="I128" s="6"/>
      <c r="J128" s="3"/>
      <c r="K128" s="3" t="s">
        <v>181</v>
      </c>
    </row>
    <row r="129" spans="1:11" ht="280" x14ac:dyDescent="0.2">
      <c r="A129" s="1" t="s">
        <v>182</v>
      </c>
      <c r="B129" s="11" t="s">
        <v>23</v>
      </c>
      <c r="C129" s="6">
        <v>4</v>
      </c>
      <c r="D129" s="6">
        <v>5</v>
      </c>
      <c r="E129" s="6">
        <v>5</v>
      </c>
      <c r="F129" s="6">
        <v>2</v>
      </c>
      <c r="G129" s="6">
        <v>5</v>
      </c>
      <c r="H129" s="6">
        <v>5</v>
      </c>
      <c r="I129" s="6">
        <v>4</v>
      </c>
      <c r="J129" s="3" t="s">
        <v>183</v>
      </c>
      <c r="K129" s="3" t="s">
        <v>184</v>
      </c>
    </row>
    <row r="130" spans="1:11" x14ac:dyDescent="0.2">
      <c r="A130" s="1"/>
      <c r="B130" s="11"/>
      <c r="C130" s="6"/>
      <c r="D130" s="6"/>
      <c r="E130" s="6"/>
      <c r="F130" s="6"/>
      <c r="G130" s="6"/>
      <c r="H130" s="6"/>
      <c r="I130" s="6"/>
      <c r="J130" s="3"/>
      <c r="K130" s="3"/>
    </row>
    <row r="131" spans="1:11" ht="80" x14ac:dyDescent="0.2">
      <c r="A131" s="1"/>
      <c r="B131" s="11"/>
      <c r="C131" s="6"/>
      <c r="D131" s="6"/>
      <c r="E131" s="6"/>
      <c r="F131" s="6"/>
      <c r="G131" s="6"/>
      <c r="H131" s="6"/>
      <c r="I131" s="6"/>
      <c r="J131" s="3"/>
      <c r="K131" s="3" t="s">
        <v>185</v>
      </c>
    </row>
    <row r="132" spans="1:11" x14ac:dyDescent="0.2">
      <c r="A132" s="1"/>
      <c r="B132" s="11"/>
      <c r="C132" s="6"/>
      <c r="D132" s="6"/>
      <c r="E132" s="6"/>
      <c r="F132" s="6"/>
      <c r="G132" s="6"/>
      <c r="H132" s="6"/>
      <c r="I132" s="6"/>
      <c r="J132" s="3"/>
      <c r="K132" s="3"/>
    </row>
    <row r="133" spans="1:11" x14ac:dyDescent="0.2">
      <c r="A133" s="1"/>
      <c r="B133" s="11"/>
      <c r="C133" s="6"/>
      <c r="D133" s="6"/>
      <c r="E133" s="6"/>
      <c r="F133" s="6"/>
      <c r="G133" s="6"/>
      <c r="H133" s="6"/>
      <c r="I133" s="6"/>
      <c r="J133" s="3"/>
      <c r="K133" s="3" t="s">
        <v>186</v>
      </c>
    </row>
    <row r="134" spans="1:11" x14ac:dyDescent="0.2">
      <c r="A134" s="1"/>
      <c r="B134" s="11"/>
      <c r="C134" s="6"/>
      <c r="D134" s="6"/>
      <c r="E134" s="6"/>
      <c r="F134" s="6"/>
      <c r="G134" s="6"/>
      <c r="H134" s="6"/>
      <c r="I134" s="6"/>
      <c r="J134" s="3"/>
      <c r="K134" s="3" t="s">
        <v>187</v>
      </c>
    </row>
    <row r="135" spans="1:11" x14ac:dyDescent="0.2">
      <c r="A135" s="1"/>
      <c r="B135" s="11"/>
      <c r="C135" s="6"/>
      <c r="D135" s="6"/>
      <c r="E135" s="6"/>
      <c r="F135" s="6"/>
      <c r="G135" s="6"/>
      <c r="H135" s="6"/>
      <c r="I135" s="6"/>
      <c r="J135" s="3"/>
      <c r="K135" s="3" t="s">
        <v>188</v>
      </c>
    </row>
    <row r="136" spans="1:11" x14ac:dyDescent="0.2">
      <c r="A136" s="1"/>
      <c r="B136" s="11"/>
      <c r="C136" s="6"/>
      <c r="D136" s="6"/>
      <c r="E136" s="6"/>
      <c r="F136" s="6"/>
      <c r="G136" s="6"/>
      <c r="H136" s="6"/>
      <c r="I136" s="6"/>
      <c r="J136" s="3"/>
      <c r="K136" s="3" t="s">
        <v>189</v>
      </c>
    </row>
    <row r="137" spans="1:11" x14ac:dyDescent="0.2">
      <c r="A137" s="1"/>
      <c r="B137" s="11"/>
      <c r="C137" s="6"/>
      <c r="D137" s="6"/>
      <c r="E137" s="6"/>
      <c r="F137" s="6"/>
      <c r="G137" s="6"/>
      <c r="H137" s="6"/>
      <c r="I137" s="6"/>
      <c r="J137" s="3"/>
      <c r="K137" s="3" t="s">
        <v>190</v>
      </c>
    </row>
    <row r="138" spans="1:11" x14ac:dyDescent="0.2">
      <c r="A138" s="1"/>
      <c r="B138" s="11"/>
      <c r="C138" s="6"/>
      <c r="D138" s="6"/>
      <c r="E138" s="6"/>
      <c r="F138" s="6"/>
      <c r="G138" s="6"/>
      <c r="H138" s="6"/>
      <c r="I138" s="6"/>
      <c r="J138" s="3"/>
      <c r="K138" s="3" t="s">
        <v>191</v>
      </c>
    </row>
    <row r="139" spans="1:11" x14ac:dyDescent="0.2">
      <c r="A139" s="1"/>
      <c r="B139" s="11"/>
      <c r="C139" s="6"/>
      <c r="D139" s="6"/>
      <c r="E139" s="6"/>
      <c r="F139" s="6"/>
      <c r="G139" s="6"/>
      <c r="H139" s="6"/>
      <c r="I139" s="6"/>
      <c r="J139" s="3"/>
      <c r="K139" s="3" t="s">
        <v>192</v>
      </c>
    </row>
    <row r="140" spans="1:11" x14ac:dyDescent="0.2">
      <c r="A140" s="1"/>
      <c r="B140" s="11"/>
      <c r="C140" s="6"/>
      <c r="D140" s="6"/>
      <c r="E140" s="6"/>
      <c r="F140" s="6"/>
      <c r="G140" s="6"/>
      <c r="H140" s="6"/>
      <c r="I140" s="6"/>
      <c r="J140" s="3"/>
      <c r="K140" s="3" t="s">
        <v>193</v>
      </c>
    </row>
    <row r="141" spans="1:11" x14ac:dyDescent="0.2">
      <c r="A141" s="1"/>
      <c r="B141" s="11"/>
      <c r="C141" s="6"/>
      <c r="D141" s="6"/>
      <c r="E141" s="6"/>
      <c r="F141" s="6"/>
      <c r="G141" s="6"/>
      <c r="H141" s="6"/>
      <c r="I141" s="6"/>
      <c r="J141" s="3"/>
      <c r="K141" s="3"/>
    </row>
    <row r="142" spans="1:11" ht="140" x14ac:dyDescent="0.2">
      <c r="A142" s="1"/>
      <c r="B142" s="11"/>
      <c r="C142" s="6"/>
      <c r="D142" s="6"/>
      <c r="E142" s="6"/>
      <c r="F142" s="6"/>
      <c r="G142" s="6"/>
      <c r="H142" s="6"/>
      <c r="I142" s="6"/>
      <c r="J142" s="3"/>
      <c r="K142" s="3" t="s">
        <v>194</v>
      </c>
    </row>
    <row r="143" spans="1:11" x14ac:dyDescent="0.2">
      <c r="A143" s="1"/>
      <c r="B143" s="11"/>
      <c r="C143" s="6"/>
      <c r="D143" s="6"/>
      <c r="E143" s="6"/>
      <c r="F143" s="6"/>
      <c r="G143" s="6"/>
      <c r="H143" s="6"/>
      <c r="I143" s="6"/>
      <c r="J143" s="3"/>
      <c r="K143" s="3"/>
    </row>
    <row r="144" spans="1:11" ht="160" x14ac:dyDescent="0.2">
      <c r="A144" s="1"/>
      <c r="B144" s="11"/>
      <c r="C144" s="6"/>
      <c r="D144" s="6"/>
      <c r="E144" s="6"/>
      <c r="F144" s="6"/>
      <c r="G144" s="6"/>
      <c r="H144" s="6"/>
      <c r="I144" s="6"/>
      <c r="J144" s="3"/>
      <c r="K144" s="3" t="s">
        <v>195</v>
      </c>
    </row>
    <row r="145" spans="1:11" ht="300" x14ac:dyDescent="0.2">
      <c r="A145" s="1" t="s">
        <v>26</v>
      </c>
      <c r="B145" s="11" t="s">
        <v>196</v>
      </c>
      <c r="C145" s="6">
        <v>4</v>
      </c>
      <c r="D145" s="6">
        <v>4</v>
      </c>
      <c r="E145" s="6">
        <v>3</v>
      </c>
      <c r="F145" s="6">
        <v>3</v>
      </c>
      <c r="G145" s="6">
        <v>5</v>
      </c>
      <c r="H145" s="6">
        <v>4</v>
      </c>
      <c r="I145" s="6">
        <v>4</v>
      </c>
      <c r="J145" s="3" t="s">
        <v>197</v>
      </c>
      <c r="K145" s="3" t="s">
        <v>198</v>
      </c>
    </row>
    <row r="146" spans="1:11" x14ac:dyDescent="0.2">
      <c r="A146" s="1"/>
      <c r="B146" s="11"/>
      <c r="C146" s="6"/>
      <c r="D146" s="6"/>
      <c r="E146" s="6"/>
      <c r="F146" s="6"/>
      <c r="G146" s="6"/>
      <c r="H146" s="6"/>
      <c r="I146" s="6"/>
      <c r="J146" s="3"/>
      <c r="K146" s="3"/>
    </row>
    <row r="147" spans="1:11" x14ac:dyDescent="0.2">
      <c r="A147" s="1"/>
      <c r="B147" s="11"/>
      <c r="C147" s="6"/>
      <c r="D147" s="6"/>
      <c r="E147" s="6"/>
      <c r="F147" s="6"/>
      <c r="G147" s="6"/>
      <c r="H147" s="6"/>
      <c r="I147" s="6"/>
      <c r="J147" s="3"/>
      <c r="K147" s="3" t="s">
        <v>199</v>
      </c>
    </row>
    <row r="148" spans="1:11" x14ac:dyDescent="0.2">
      <c r="A148" s="1"/>
      <c r="B148" s="11"/>
      <c r="C148" s="6"/>
      <c r="D148" s="6"/>
      <c r="E148" s="6"/>
      <c r="F148" s="6"/>
      <c r="G148" s="6"/>
      <c r="H148" s="6"/>
      <c r="I148" s="6"/>
      <c r="J148" s="3"/>
      <c r="K148" s="3" t="s">
        <v>200</v>
      </c>
    </row>
    <row r="149" spans="1:11" x14ac:dyDescent="0.2">
      <c r="A149" s="1"/>
      <c r="B149" s="11"/>
      <c r="C149" s="6"/>
      <c r="D149" s="6"/>
      <c r="E149" s="6"/>
      <c r="F149" s="6"/>
      <c r="G149" s="6"/>
      <c r="H149" s="6"/>
      <c r="I149" s="6"/>
      <c r="J149" s="3"/>
      <c r="K149" s="3" t="s">
        <v>201</v>
      </c>
    </row>
    <row r="150" spans="1:11" x14ac:dyDescent="0.2">
      <c r="A150" s="1"/>
      <c r="B150" s="11"/>
      <c r="C150" s="6"/>
      <c r="D150" s="6"/>
      <c r="E150" s="6"/>
      <c r="F150" s="6"/>
      <c r="G150" s="6"/>
      <c r="H150" s="6"/>
      <c r="I150" s="6"/>
      <c r="J150" s="3"/>
      <c r="K150" s="3" t="s">
        <v>202</v>
      </c>
    </row>
    <row r="151" spans="1:11" ht="40" x14ac:dyDescent="0.2">
      <c r="A151" s="1"/>
      <c r="B151" s="11"/>
      <c r="C151" s="6"/>
      <c r="D151" s="6"/>
      <c r="E151" s="6"/>
      <c r="F151" s="6"/>
      <c r="G151" s="6"/>
      <c r="H151" s="6"/>
      <c r="I151" s="6"/>
      <c r="J151" s="3"/>
      <c r="K151" s="3" t="s">
        <v>203</v>
      </c>
    </row>
    <row r="152" spans="1:11" ht="40" x14ac:dyDescent="0.2">
      <c r="A152" s="1"/>
      <c r="B152" s="11"/>
      <c r="C152" s="6"/>
      <c r="D152" s="6"/>
      <c r="E152" s="6"/>
      <c r="F152" s="6"/>
      <c r="G152" s="6"/>
      <c r="H152" s="6"/>
      <c r="I152" s="6"/>
      <c r="J152" s="3"/>
      <c r="K152" s="3" t="s">
        <v>204</v>
      </c>
    </row>
    <row r="153" spans="1:11" x14ac:dyDescent="0.2">
      <c r="A153" s="1"/>
      <c r="B153" s="11"/>
      <c r="C153" s="6"/>
      <c r="D153" s="6"/>
      <c r="E153" s="6"/>
      <c r="F153" s="6"/>
      <c r="G153" s="6"/>
      <c r="H153" s="6"/>
      <c r="I153" s="6"/>
      <c r="J153" s="3"/>
      <c r="K153" s="3" t="s">
        <v>205</v>
      </c>
    </row>
    <row r="154" spans="1:11" x14ac:dyDescent="0.2">
      <c r="A154" s="1"/>
      <c r="B154" s="11"/>
      <c r="C154" s="6"/>
      <c r="D154" s="6"/>
      <c r="E154" s="6"/>
      <c r="F154" s="6"/>
      <c r="G154" s="6"/>
      <c r="H154" s="6"/>
      <c r="I154" s="6"/>
      <c r="J154" s="3"/>
      <c r="K154" s="3" t="s">
        <v>206</v>
      </c>
    </row>
    <row r="155" spans="1:11" x14ac:dyDescent="0.2">
      <c r="A155" s="1"/>
      <c r="B155" s="11"/>
      <c r="C155" s="6"/>
      <c r="D155" s="6"/>
      <c r="E155" s="6"/>
      <c r="F155" s="6"/>
      <c r="G155" s="6"/>
      <c r="H155" s="6"/>
      <c r="I155" s="6"/>
      <c r="J155" s="3"/>
      <c r="K155" s="3"/>
    </row>
    <row r="156" spans="1:11" ht="40" x14ac:dyDescent="0.2">
      <c r="A156" s="1"/>
      <c r="B156" s="11"/>
      <c r="C156" s="6"/>
      <c r="D156" s="6"/>
      <c r="E156" s="6"/>
      <c r="F156" s="6"/>
      <c r="G156" s="6"/>
      <c r="H156" s="6"/>
      <c r="I156" s="6"/>
      <c r="J156" s="3"/>
      <c r="K156" s="3" t="s">
        <v>207</v>
      </c>
    </row>
    <row r="157" spans="1:11" x14ac:dyDescent="0.2">
      <c r="A157" s="1"/>
      <c r="B157" s="11"/>
      <c r="C157" s="6"/>
      <c r="D157" s="6"/>
      <c r="E157" s="6"/>
      <c r="F157" s="6"/>
      <c r="G157" s="6"/>
      <c r="H157" s="6"/>
      <c r="I157" s="6"/>
      <c r="J157" s="3"/>
      <c r="K157" s="3"/>
    </row>
    <row r="158" spans="1:11" x14ac:dyDescent="0.2">
      <c r="A158" s="1"/>
      <c r="B158" s="11"/>
      <c r="C158" s="6"/>
      <c r="D158" s="6"/>
      <c r="E158" s="6"/>
      <c r="F158" s="6"/>
      <c r="G158" s="6"/>
      <c r="H158" s="6"/>
      <c r="I158" s="6"/>
      <c r="J158" s="3"/>
      <c r="K158" s="3" t="e" cm="1">
        <f t="array" ref="K158">- Primary dental caries</f>
        <v>#NAME?</v>
      </c>
    </row>
    <row r="159" spans="1:11" x14ac:dyDescent="0.2">
      <c r="A159" s="1"/>
      <c r="B159" s="11"/>
      <c r="C159" s="6"/>
      <c r="D159" s="6"/>
      <c r="E159" s="6"/>
      <c r="F159" s="6"/>
      <c r="G159" s="6"/>
      <c r="H159" s="6"/>
      <c r="I159" s="6"/>
      <c r="J159" s="3"/>
      <c r="K159" s="3" t="s">
        <v>208</v>
      </c>
    </row>
    <row r="160" spans="1:11" x14ac:dyDescent="0.2">
      <c r="A160" s="1"/>
      <c r="B160" s="11"/>
      <c r="C160" s="6"/>
      <c r="D160" s="6"/>
      <c r="E160" s="6"/>
      <c r="F160" s="6"/>
      <c r="G160" s="6"/>
      <c r="H160" s="6"/>
      <c r="I160" s="6"/>
      <c r="J160" s="3"/>
      <c r="K160" s="3" t="e" cm="1">
        <f t="array" ref="K160">- Risk activity involvement</f>
        <v>#NAME?</v>
      </c>
    </row>
    <row r="161" spans="1:11" x14ac:dyDescent="0.2">
      <c r="A161" s="1"/>
      <c r="B161" s="11"/>
      <c r="C161" s="6"/>
      <c r="D161" s="6"/>
      <c r="E161" s="6"/>
      <c r="F161" s="6"/>
      <c r="G161" s="6"/>
      <c r="H161" s="6"/>
      <c r="I161" s="6"/>
      <c r="J161" s="3"/>
      <c r="K161" s="3" t="e" cm="1">
        <f t="array" ref="K161">- Gingival disease</f>
        <v>#NAME?</v>
      </c>
    </row>
    <row r="162" spans="1:11" x14ac:dyDescent="0.2">
      <c r="A162" s="1"/>
      <c r="B162" s="11"/>
      <c r="C162" s="6"/>
      <c r="D162" s="6"/>
      <c r="E162" s="6"/>
      <c r="F162" s="6"/>
      <c r="G162" s="6"/>
      <c r="H162" s="6"/>
      <c r="I162" s="6"/>
      <c r="J162" s="3"/>
      <c r="K162" s="3" t="e" cm="1">
        <f t="array" ref="K162">- Acute viral pharyngitis</f>
        <v>#NAME?</v>
      </c>
    </row>
    <row r="163" spans="1:11" x14ac:dyDescent="0.2">
      <c r="A163" s="1"/>
      <c r="B163" s="11"/>
      <c r="C163" s="6"/>
      <c r="D163" s="6"/>
      <c r="E163" s="6"/>
      <c r="F163" s="6"/>
      <c r="G163" s="6"/>
      <c r="H163" s="6"/>
      <c r="I163" s="6"/>
      <c r="J163" s="3"/>
      <c r="K163" s="3" t="e" cm="1">
        <f t="array" ref="K163">- Medication review due</f>
        <v>#NAME?</v>
      </c>
    </row>
    <row r="164" spans="1:11" x14ac:dyDescent="0.2">
      <c r="A164" s="1"/>
      <c r="B164" s="11"/>
      <c r="C164" s="6"/>
      <c r="D164" s="6"/>
      <c r="E164" s="6"/>
      <c r="F164" s="6"/>
      <c r="G164" s="6"/>
      <c r="H164" s="6"/>
      <c r="I164" s="6"/>
      <c r="J164" s="3"/>
      <c r="K164" s="3" t="e" cm="1">
        <f t="array" ref="K164">- Limited social contact</f>
        <v>#NAME?</v>
      </c>
    </row>
    <row r="165" spans="1:11" x14ac:dyDescent="0.2">
      <c r="A165" s="1"/>
      <c r="B165" s="11"/>
      <c r="C165" s="6"/>
      <c r="D165" s="6"/>
      <c r="E165" s="6"/>
      <c r="F165" s="6"/>
      <c r="G165" s="6"/>
      <c r="H165" s="6"/>
      <c r="I165" s="6"/>
      <c r="J165" s="3"/>
      <c r="K165" s="3" t="e" cm="1">
        <f t="array" ref="K165">- viral sinusitis</f>
        <v>#NAME?</v>
      </c>
    </row>
    <row r="166" spans="1:11" x14ac:dyDescent="0.2">
      <c r="A166" s="1"/>
      <c r="B166" s="11"/>
      <c r="C166" s="6"/>
      <c r="D166" s="6"/>
      <c r="E166" s="6"/>
      <c r="F166" s="6"/>
      <c r="G166" s="6"/>
      <c r="H166" s="6"/>
      <c r="I166" s="6"/>
      <c r="J166" s="3"/>
      <c r="K166" s="3" t="e" cm="1">
        <f t="array" ref="K166">- Gingivitis</f>
        <v>#NAME?</v>
      </c>
    </row>
    <row r="167" spans="1:11" x14ac:dyDescent="0.2">
      <c r="A167" s="1"/>
      <c r="B167" s="11"/>
      <c r="C167" s="6"/>
      <c r="D167" s="6"/>
      <c r="E167" s="6"/>
      <c r="F167" s="6"/>
      <c r="G167" s="6"/>
      <c r="H167" s="6"/>
      <c r="I167" s="6"/>
      <c r="J167" s="3"/>
      <c r="K167" s="3"/>
    </row>
    <row r="168" spans="1:11" ht="120" x14ac:dyDescent="0.2">
      <c r="A168" s="1"/>
      <c r="B168" s="11"/>
      <c r="C168" s="6"/>
      <c r="D168" s="6"/>
      <c r="E168" s="6"/>
      <c r="F168" s="6"/>
      <c r="G168" s="6"/>
      <c r="H168" s="6"/>
      <c r="I168" s="6"/>
      <c r="J168" s="3"/>
      <c r="K168" s="3" t="s">
        <v>209</v>
      </c>
    </row>
    <row r="169" spans="1:11" x14ac:dyDescent="0.2">
      <c r="A169" s="1"/>
      <c r="B169" s="11"/>
      <c r="C169" s="6"/>
      <c r="D169" s="6"/>
      <c r="E169" s="6"/>
      <c r="F169" s="6"/>
      <c r="G169" s="6"/>
      <c r="H169" s="6"/>
      <c r="I169" s="6"/>
      <c r="J169" s="3"/>
      <c r="K169" s="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7D698-9293-7C40-8032-BB8DC717B34D}">
  <dimension ref="A1:K153"/>
  <sheetViews>
    <sheetView workbookViewId="0">
      <selection activeCell="D138" sqref="D138"/>
    </sheetView>
  </sheetViews>
  <sheetFormatPr baseColWidth="10" defaultRowHeight="29" x14ac:dyDescent="0.35"/>
  <cols>
    <col min="1" max="1" width="11.83203125" customWidth="1"/>
    <col min="2" max="2" width="25.33203125" style="12" customWidth="1"/>
    <col min="3" max="9" width="10.83203125" style="7"/>
    <col min="10" max="10" width="37" style="13" customWidth="1"/>
    <col min="11" max="11" width="48.6640625" style="13" customWidth="1"/>
  </cols>
  <sheetData>
    <row r="1" spans="1:11" ht="188" customHeight="1" x14ac:dyDescent="0.2">
      <c r="A1" s="1" t="s">
        <v>0</v>
      </c>
      <c r="B1" s="11" t="s">
        <v>1</v>
      </c>
      <c r="C1" s="10" t="s">
        <v>2</v>
      </c>
      <c r="D1" s="9" t="s">
        <v>3</v>
      </c>
      <c r="E1" s="9" t="s">
        <v>4</v>
      </c>
      <c r="F1" s="9" t="s">
        <v>5</v>
      </c>
      <c r="G1" s="26" t="s">
        <v>6</v>
      </c>
      <c r="H1" s="26" t="s">
        <v>7</v>
      </c>
      <c r="I1" s="26" t="s">
        <v>8</v>
      </c>
      <c r="J1" s="3" t="s">
        <v>9</v>
      </c>
      <c r="K1" s="3" t="s">
        <v>10</v>
      </c>
    </row>
    <row r="2" spans="1:11" ht="320" x14ac:dyDescent="0.2">
      <c r="A2" s="1" t="s">
        <v>18</v>
      </c>
      <c r="B2" s="11" t="s">
        <v>19</v>
      </c>
      <c r="C2" s="6">
        <v>4</v>
      </c>
      <c r="D2" s="6">
        <v>4</v>
      </c>
      <c r="E2" s="6">
        <v>1</v>
      </c>
      <c r="F2" s="6">
        <v>3</v>
      </c>
      <c r="G2" s="6">
        <v>3</v>
      </c>
      <c r="H2" s="6">
        <v>4</v>
      </c>
      <c r="I2" s="6">
        <v>2</v>
      </c>
      <c r="J2" s="3" t="s">
        <v>20</v>
      </c>
      <c r="K2" s="3" t="s">
        <v>21</v>
      </c>
    </row>
    <row r="3" spans="1:11" ht="409.6" x14ac:dyDescent="0.2">
      <c r="A3" s="1" t="s">
        <v>22</v>
      </c>
      <c r="B3" s="11" t="s">
        <v>23</v>
      </c>
      <c r="C3" s="6">
        <v>4</v>
      </c>
      <c r="D3" s="6">
        <v>5</v>
      </c>
      <c r="E3" s="6">
        <v>5</v>
      </c>
      <c r="F3" s="6">
        <v>4</v>
      </c>
      <c r="G3" s="6">
        <v>5</v>
      </c>
      <c r="H3" s="6">
        <v>5</v>
      </c>
      <c r="I3" s="6">
        <v>5</v>
      </c>
      <c r="J3" s="3" t="s">
        <v>24</v>
      </c>
      <c r="K3" s="3" t="s">
        <v>25</v>
      </c>
    </row>
    <row r="4" spans="1:11" ht="409.6" x14ac:dyDescent="0.2">
      <c r="A4" s="1" t="s">
        <v>26</v>
      </c>
      <c r="B4" s="11" t="s">
        <v>27</v>
      </c>
      <c r="C4" s="6">
        <v>4</v>
      </c>
      <c r="D4" s="6">
        <v>4</v>
      </c>
      <c r="E4" s="6">
        <v>2</v>
      </c>
      <c r="F4" s="6">
        <v>2</v>
      </c>
      <c r="G4" s="6">
        <v>5</v>
      </c>
      <c r="H4" s="6">
        <v>4</v>
      </c>
      <c r="I4" s="6">
        <v>4</v>
      </c>
      <c r="J4" s="3" t="s">
        <v>28</v>
      </c>
      <c r="K4" s="3" t="s">
        <v>29</v>
      </c>
    </row>
    <row r="5" spans="1:11" ht="409.6" x14ac:dyDescent="0.2">
      <c r="A5" s="1" t="s">
        <v>32</v>
      </c>
      <c r="B5" s="11" t="s">
        <v>33</v>
      </c>
      <c r="C5" s="6">
        <v>4</v>
      </c>
      <c r="D5" s="6">
        <v>4</v>
      </c>
      <c r="E5" s="6">
        <v>2</v>
      </c>
      <c r="F5" s="6">
        <v>2</v>
      </c>
      <c r="G5" s="6">
        <v>5</v>
      </c>
      <c r="H5" s="6">
        <v>3</v>
      </c>
      <c r="I5" s="6">
        <v>5</v>
      </c>
      <c r="J5" s="3" t="s">
        <v>34</v>
      </c>
      <c r="K5" s="3" t="s">
        <v>35</v>
      </c>
    </row>
    <row r="6" spans="1:11" ht="400" x14ac:dyDescent="0.2">
      <c r="A6" s="1" t="s">
        <v>36</v>
      </c>
      <c r="B6" s="11" t="s">
        <v>37</v>
      </c>
      <c r="C6" s="6">
        <v>4</v>
      </c>
      <c r="D6" s="6">
        <v>3</v>
      </c>
      <c r="E6" s="6">
        <v>3</v>
      </c>
      <c r="F6" s="6">
        <v>2</v>
      </c>
      <c r="G6" s="6">
        <v>5</v>
      </c>
      <c r="H6" s="6">
        <v>5</v>
      </c>
      <c r="I6" s="6">
        <v>5</v>
      </c>
      <c r="J6" s="3" t="s">
        <v>38</v>
      </c>
      <c r="K6" s="3" t="s">
        <v>39</v>
      </c>
    </row>
    <row r="7" spans="1:11" ht="220" x14ac:dyDescent="0.2">
      <c r="A7" s="1" t="s">
        <v>40</v>
      </c>
      <c r="B7" s="11" t="s">
        <v>19</v>
      </c>
      <c r="C7" s="6">
        <v>4</v>
      </c>
      <c r="D7" s="6">
        <v>4</v>
      </c>
      <c r="E7" s="6">
        <v>3</v>
      </c>
      <c r="F7" s="6">
        <v>2</v>
      </c>
      <c r="G7" s="6">
        <v>5</v>
      </c>
      <c r="H7" s="6">
        <v>5</v>
      </c>
      <c r="I7" s="6">
        <v>4</v>
      </c>
      <c r="J7" s="3" t="s">
        <v>41</v>
      </c>
      <c r="K7" s="3" t="s">
        <v>42</v>
      </c>
    </row>
    <row r="8" spans="1:11" ht="409.6" x14ac:dyDescent="0.2">
      <c r="A8" s="1" t="s">
        <v>30</v>
      </c>
      <c r="B8" s="11" t="s">
        <v>37</v>
      </c>
      <c r="C8" s="6">
        <v>4</v>
      </c>
      <c r="D8" s="6">
        <v>4</v>
      </c>
      <c r="E8" s="6">
        <v>2</v>
      </c>
      <c r="F8" s="6">
        <v>2</v>
      </c>
      <c r="G8" s="6">
        <v>5</v>
      </c>
      <c r="H8" s="6">
        <v>5</v>
      </c>
      <c r="I8" s="6">
        <v>5</v>
      </c>
      <c r="J8" s="3" t="s">
        <v>43</v>
      </c>
      <c r="K8" s="3" t="s">
        <v>44</v>
      </c>
    </row>
    <row r="9" spans="1:11" ht="409.6" x14ac:dyDescent="0.2">
      <c r="A9" s="1" t="s">
        <v>45</v>
      </c>
      <c r="B9" s="11" t="s">
        <v>46</v>
      </c>
      <c r="C9" s="6">
        <v>5</v>
      </c>
      <c r="D9" s="6">
        <v>3</v>
      </c>
      <c r="E9" s="6">
        <v>2</v>
      </c>
      <c r="F9" s="6">
        <v>2</v>
      </c>
      <c r="G9" s="6">
        <v>2</v>
      </c>
      <c r="H9" s="6">
        <v>2</v>
      </c>
      <c r="I9" s="6">
        <v>2</v>
      </c>
      <c r="J9" s="3" t="s">
        <v>47</v>
      </c>
      <c r="K9" s="3" t="s">
        <v>48</v>
      </c>
    </row>
    <row r="10" spans="1:11" ht="409.6" x14ac:dyDescent="0.2">
      <c r="A10" s="1" t="s">
        <v>49</v>
      </c>
      <c r="B10" s="11" t="s">
        <v>50</v>
      </c>
      <c r="C10" s="6">
        <v>4</v>
      </c>
      <c r="D10" s="6">
        <v>4</v>
      </c>
      <c r="E10" s="6">
        <v>5</v>
      </c>
      <c r="F10" s="6">
        <v>2</v>
      </c>
      <c r="G10" s="6">
        <v>5</v>
      </c>
      <c r="H10" s="6">
        <v>5</v>
      </c>
      <c r="I10" s="6">
        <v>5</v>
      </c>
      <c r="J10" s="3" t="s">
        <v>51</v>
      </c>
      <c r="K10" s="3" t="s">
        <v>52</v>
      </c>
    </row>
    <row r="11" spans="1:11" ht="409.6" x14ac:dyDescent="0.2">
      <c r="A11" s="1" t="s">
        <v>53</v>
      </c>
      <c r="B11" s="11" t="s">
        <v>54</v>
      </c>
      <c r="C11" s="6">
        <v>5</v>
      </c>
      <c r="D11" s="6">
        <v>4</v>
      </c>
      <c r="E11" s="6">
        <v>4</v>
      </c>
      <c r="F11" s="6">
        <v>2</v>
      </c>
      <c r="G11" s="6">
        <v>4</v>
      </c>
      <c r="H11" s="6">
        <v>5</v>
      </c>
      <c r="I11" s="6">
        <v>3</v>
      </c>
      <c r="J11" s="3" t="s">
        <v>55</v>
      </c>
      <c r="K11" s="3" t="s">
        <v>56</v>
      </c>
    </row>
    <row r="12" spans="1:11" ht="409.6" x14ac:dyDescent="0.2">
      <c r="A12" s="1" t="s">
        <v>57</v>
      </c>
      <c r="B12" s="11" t="s">
        <v>54</v>
      </c>
      <c r="C12" s="6">
        <v>4</v>
      </c>
      <c r="D12" s="6">
        <v>5</v>
      </c>
      <c r="E12" s="6">
        <v>4</v>
      </c>
      <c r="F12" s="6">
        <v>2</v>
      </c>
      <c r="G12" s="6">
        <v>5</v>
      </c>
      <c r="H12" s="6">
        <v>4</v>
      </c>
      <c r="I12" s="6">
        <v>4</v>
      </c>
      <c r="J12" s="3" t="s">
        <v>58</v>
      </c>
      <c r="K12" s="3" t="s">
        <v>59</v>
      </c>
    </row>
    <row r="13" spans="1:11" ht="240" x14ac:dyDescent="0.2">
      <c r="A13" s="1" t="s">
        <v>60</v>
      </c>
      <c r="B13" s="11" t="s">
        <v>61</v>
      </c>
      <c r="C13" s="6">
        <v>5</v>
      </c>
      <c r="D13" s="6">
        <v>4</v>
      </c>
      <c r="E13" s="6">
        <v>2</v>
      </c>
      <c r="F13" s="6">
        <v>2</v>
      </c>
      <c r="G13" s="6">
        <v>5</v>
      </c>
      <c r="H13" s="6">
        <v>5</v>
      </c>
      <c r="I13" s="6">
        <v>5</v>
      </c>
      <c r="J13" s="3" t="s">
        <v>62</v>
      </c>
      <c r="K13" s="3" t="s">
        <v>63</v>
      </c>
    </row>
    <row r="14" spans="1:11" ht="409.6" x14ac:dyDescent="0.2">
      <c r="A14" s="1" t="s">
        <v>69</v>
      </c>
      <c r="B14" s="11" t="s">
        <v>23</v>
      </c>
      <c r="C14" s="6">
        <v>4</v>
      </c>
      <c r="D14" s="6">
        <v>5</v>
      </c>
      <c r="E14" s="6">
        <v>4</v>
      </c>
      <c r="F14" s="6">
        <v>3</v>
      </c>
      <c r="G14" s="6">
        <v>5</v>
      </c>
      <c r="H14" s="6">
        <v>5</v>
      </c>
      <c r="I14" s="6">
        <v>4</v>
      </c>
      <c r="J14" s="3" t="s">
        <v>70</v>
      </c>
      <c r="K14" s="3" t="s">
        <v>71</v>
      </c>
    </row>
    <row r="15" spans="1:11" ht="409.6" x14ac:dyDescent="0.2">
      <c r="A15" s="1" t="s">
        <v>72</v>
      </c>
      <c r="B15" s="11" t="s">
        <v>54</v>
      </c>
      <c r="C15" s="6">
        <v>4</v>
      </c>
      <c r="D15" s="6">
        <v>5</v>
      </c>
      <c r="E15" s="6">
        <v>5</v>
      </c>
      <c r="F15" s="6">
        <v>2</v>
      </c>
      <c r="G15" s="6">
        <v>5</v>
      </c>
      <c r="H15" s="6">
        <v>5</v>
      </c>
      <c r="I15" s="6">
        <v>5</v>
      </c>
      <c r="J15" s="3" t="s">
        <v>73</v>
      </c>
      <c r="K15" s="3" t="s">
        <v>74</v>
      </c>
    </row>
    <row r="16" spans="1:11" ht="300" x14ac:dyDescent="0.2">
      <c r="A16" s="1" t="s">
        <v>75</v>
      </c>
      <c r="B16" s="11" t="s">
        <v>27</v>
      </c>
      <c r="C16" s="6">
        <v>4</v>
      </c>
      <c r="D16" s="6">
        <v>4</v>
      </c>
      <c r="E16" s="6">
        <v>3</v>
      </c>
      <c r="F16" s="6">
        <v>3</v>
      </c>
      <c r="G16" s="6">
        <v>5</v>
      </c>
      <c r="H16" s="6">
        <v>4</v>
      </c>
      <c r="I16" s="6">
        <v>4</v>
      </c>
      <c r="J16" s="3" t="s">
        <v>76</v>
      </c>
      <c r="K16" s="3" t="s">
        <v>77</v>
      </c>
    </row>
    <row r="17" spans="1:11" x14ac:dyDescent="0.2">
      <c r="A17" s="1"/>
      <c r="B17" s="11"/>
      <c r="C17" s="6"/>
      <c r="D17" s="6"/>
      <c r="E17" s="6"/>
      <c r="F17" s="6"/>
      <c r="G17" s="6"/>
      <c r="H17" s="6"/>
      <c r="I17" s="6"/>
      <c r="J17" s="3"/>
      <c r="K17" s="3"/>
    </row>
    <row r="18" spans="1:11" x14ac:dyDescent="0.2">
      <c r="A18" s="1"/>
      <c r="B18" s="11"/>
      <c r="C18" s="6"/>
      <c r="D18" s="6"/>
      <c r="E18" s="6"/>
      <c r="F18" s="6"/>
      <c r="G18" s="6"/>
      <c r="H18" s="6"/>
      <c r="I18" s="6"/>
      <c r="J18" s="3"/>
      <c r="K18" s="3" t="s">
        <v>78</v>
      </c>
    </row>
    <row r="19" spans="1:11" x14ac:dyDescent="0.2">
      <c r="A19" s="1"/>
      <c r="B19" s="11"/>
      <c r="C19" s="6"/>
      <c r="D19" s="6"/>
      <c r="E19" s="6"/>
      <c r="F19" s="6"/>
      <c r="G19" s="6"/>
      <c r="H19" s="6"/>
      <c r="I19" s="6"/>
      <c r="J19" s="3"/>
      <c r="K19" s="3"/>
    </row>
    <row r="20" spans="1:11" x14ac:dyDescent="0.2">
      <c r="A20" s="1"/>
      <c r="B20" s="11"/>
      <c r="C20" s="6"/>
      <c r="D20" s="6"/>
      <c r="E20" s="6"/>
      <c r="F20" s="6"/>
      <c r="G20" s="6"/>
      <c r="H20" s="6"/>
      <c r="I20" s="6"/>
      <c r="J20" s="3"/>
      <c r="K20" s="3" t="s">
        <v>79</v>
      </c>
    </row>
    <row r="21" spans="1:11" x14ac:dyDescent="0.2">
      <c r="A21" s="1"/>
      <c r="B21" s="11"/>
      <c r="C21" s="6"/>
      <c r="D21" s="6"/>
      <c r="E21" s="6"/>
      <c r="F21" s="6"/>
      <c r="G21" s="6"/>
      <c r="H21" s="6"/>
      <c r="I21" s="6"/>
      <c r="J21" s="3"/>
      <c r="K21" s="3" t="s">
        <v>80</v>
      </c>
    </row>
    <row r="22" spans="1:11" x14ac:dyDescent="0.2">
      <c r="A22" s="1"/>
      <c r="B22" s="11"/>
      <c r="C22" s="6"/>
      <c r="D22" s="6"/>
      <c r="E22" s="6"/>
      <c r="F22" s="6"/>
      <c r="G22" s="6"/>
      <c r="H22" s="6"/>
      <c r="I22" s="6"/>
      <c r="J22" s="3"/>
      <c r="K22" s="3" t="s">
        <v>81</v>
      </c>
    </row>
    <row r="23" spans="1:11" x14ac:dyDescent="0.2">
      <c r="A23" s="1"/>
      <c r="B23" s="11"/>
      <c r="C23" s="6"/>
      <c r="D23" s="6"/>
      <c r="E23" s="6"/>
      <c r="F23" s="6"/>
      <c r="G23" s="6"/>
      <c r="H23" s="6"/>
      <c r="I23" s="6"/>
      <c r="J23" s="3"/>
      <c r="K23" s="3" t="s">
        <v>82</v>
      </c>
    </row>
    <row r="24" spans="1:11" x14ac:dyDescent="0.2">
      <c r="A24" s="1"/>
      <c r="B24" s="11"/>
      <c r="C24" s="6"/>
      <c r="D24" s="6"/>
      <c r="E24" s="6"/>
      <c r="F24" s="6"/>
      <c r="G24" s="6"/>
      <c r="H24" s="6"/>
      <c r="I24" s="6"/>
      <c r="J24" s="3"/>
      <c r="K24" s="3" t="s">
        <v>83</v>
      </c>
    </row>
    <row r="25" spans="1:11" x14ac:dyDescent="0.2">
      <c r="A25" s="1"/>
      <c r="B25" s="11"/>
      <c r="C25" s="6"/>
      <c r="D25" s="6"/>
      <c r="E25" s="6"/>
      <c r="F25" s="6"/>
      <c r="G25" s="6"/>
      <c r="H25" s="6"/>
      <c r="I25" s="6"/>
      <c r="J25" s="3"/>
      <c r="K25" s="3" t="s">
        <v>84</v>
      </c>
    </row>
    <row r="26" spans="1:11" x14ac:dyDescent="0.2">
      <c r="A26" s="1"/>
      <c r="B26" s="11"/>
      <c r="C26" s="6"/>
      <c r="D26" s="6"/>
      <c r="E26" s="6"/>
      <c r="F26" s="6"/>
      <c r="G26" s="6"/>
      <c r="H26" s="6"/>
      <c r="I26" s="6"/>
      <c r="J26" s="3"/>
      <c r="K26" s="3" t="s">
        <v>85</v>
      </c>
    </row>
    <row r="27" spans="1:11" x14ac:dyDescent="0.2">
      <c r="A27" s="1"/>
      <c r="B27" s="11"/>
      <c r="C27" s="6"/>
      <c r="D27" s="6"/>
      <c r="E27" s="6"/>
      <c r="F27" s="6"/>
      <c r="G27" s="6"/>
      <c r="H27" s="6"/>
      <c r="I27" s="6"/>
      <c r="J27" s="3"/>
      <c r="K27" s="3" t="s">
        <v>86</v>
      </c>
    </row>
    <row r="28" spans="1:11" x14ac:dyDescent="0.2">
      <c r="A28" s="1"/>
      <c r="B28" s="11"/>
      <c r="C28" s="6"/>
      <c r="D28" s="6"/>
      <c r="E28" s="6"/>
      <c r="F28" s="6"/>
      <c r="G28" s="6"/>
      <c r="H28" s="6"/>
      <c r="I28" s="6"/>
      <c r="J28" s="3"/>
      <c r="K28" s="3" t="s">
        <v>87</v>
      </c>
    </row>
    <row r="29" spans="1:11" x14ac:dyDescent="0.2">
      <c r="A29" s="1"/>
      <c r="B29" s="11"/>
      <c r="C29" s="6"/>
      <c r="D29" s="6"/>
      <c r="E29" s="6"/>
      <c r="F29" s="6"/>
      <c r="G29" s="6"/>
      <c r="H29" s="6"/>
      <c r="I29" s="6"/>
      <c r="J29" s="3"/>
      <c r="K29" s="3" t="s">
        <v>88</v>
      </c>
    </row>
    <row r="30" spans="1:11" x14ac:dyDescent="0.2">
      <c r="A30" s="1"/>
      <c r="B30" s="11"/>
      <c r="C30" s="6"/>
      <c r="D30" s="6"/>
      <c r="E30" s="6"/>
      <c r="F30" s="6"/>
      <c r="G30" s="6"/>
      <c r="H30" s="6"/>
      <c r="I30" s="6"/>
      <c r="J30" s="3"/>
      <c r="K30" s="3" t="s">
        <v>89</v>
      </c>
    </row>
    <row r="31" spans="1:11" x14ac:dyDescent="0.2">
      <c r="A31" s="1"/>
      <c r="B31" s="11"/>
      <c r="C31" s="6"/>
      <c r="D31" s="6"/>
      <c r="E31" s="6"/>
      <c r="F31" s="6"/>
      <c r="G31" s="6"/>
      <c r="H31" s="6"/>
      <c r="I31" s="6"/>
      <c r="J31" s="3"/>
      <c r="K31" s="3" t="s">
        <v>90</v>
      </c>
    </row>
    <row r="32" spans="1:11" x14ac:dyDescent="0.2">
      <c r="A32" s="1"/>
      <c r="B32" s="11"/>
      <c r="C32" s="6"/>
      <c r="D32" s="6"/>
      <c r="E32" s="6"/>
      <c r="F32" s="6"/>
      <c r="G32" s="6"/>
      <c r="H32" s="6"/>
      <c r="I32" s="6"/>
      <c r="J32" s="3"/>
      <c r="K32" s="3" t="s">
        <v>91</v>
      </c>
    </row>
    <row r="33" spans="1:11" x14ac:dyDescent="0.2">
      <c r="A33" s="1"/>
      <c r="B33" s="11"/>
      <c r="C33" s="6"/>
      <c r="D33" s="6"/>
      <c r="E33" s="6"/>
      <c r="F33" s="6"/>
      <c r="G33" s="6"/>
      <c r="H33" s="6"/>
      <c r="I33" s="6"/>
      <c r="J33" s="3"/>
      <c r="K33" s="3" t="s">
        <v>92</v>
      </c>
    </row>
    <row r="34" spans="1:11" x14ac:dyDescent="0.2">
      <c r="A34" s="1"/>
      <c r="B34" s="11"/>
      <c r="C34" s="6"/>
      <c r="D34" s="6"/>
      <c r="E34" s="6"/>
      <c r="F34" s="6"/>
      <c r="G34" s="6"/>
      <c r="H34" s="6"/>
      <c r="I34" s="6"/>
      <c r="J34" s="3"/>
      <c r="K34" s="3" t="s">
        <v>93</v>
      </c>
    </row>
    <row r="35" spans="1:11" x14ac:dyDescent="0.2">
      <c r="A35" s="1"/>
      <c r="B35" s="11"/>
      <c r="C35" s="6"/>
      <c r="D35" s="6"/>
      <c r="E35" s="6"/>
      <c r="F35" s="6"/>
      <c r="G35" s="6"/>
      <c r="H35" s="6"/>
      <c r="I35" s="6"/>
      <c r="J35" s="3"/>
      <c r="K35" s="3"/>
    </row>
    <row r="36" spans="1:11" ht="140" x14ac:dyDescent="0.2">
      <c r="A36" s="1"/>
      <c r="B36" s="11"/>
      <c r="C36" s="6"/>
      <c r="D36" s="6"/>
      <c r="E36" s="6"/>
      <c r="F36" s="6"/>
      <c r="G36" s="6"/>
      <c r="H36" s="6"/>
      <c r="I36" s="6"/>
      <c r="J36" s="3"/>
      <c r="K36" s="3" t="s">
        <v>94</v>
      </c>
    </row>
    <row r="37" spans="1:11" x14ac:dyDescent="0.2">
      <c r="A37" s="1"/>
      <c r="B37" s="11"/>
      <c r="C37" s="6"/>
      <c r="D37" s="6"/>
      <c r="E37" s="6"/>
      <c r="F37" s="6"/>
      <c r="G37" s="6"/>
      <c r="H37" s="6"/>
      <c r="I37" s="6"/>
      <c r="J37" s="3"/>
      <c r="K37" s="3"/>
    </row>
    <row r="38" spans="1:11" ht="100" x14ac:dyDescent="0.2">
      <c r="A38" s="1"/>
      <c r="B38" s="11"/>
      <c r="C38" s="6"/>
      <c r="D38" s="6"/>
      <c r="E38" s="6"/>
      <c r="F38" s="6"/>
      <c r="G38" s="6"/>
      <c r="H38" s="6"/>
      <c r="I38" s="6"/>
      <c r="J38" s="3"/>
      <c r="K38" s="3" t="s">
        <v>95</v>
      </c>
    </row>
    <row r="39" spans="1:11" ht="300" x14ac:dyDescent="0.2">
      <c r="A39" s="1" t="s">
        <v>96</v>
      </c>
      <c r="B39" s="11" t="s">
        <v>97</v>
      </c>
      <c r="C39" s="6">
        <v>4</v>
      </c>
      <c r="D39" s="6">
        <v>5</v>
      </c>
      <c r="E39" s="6">
        <v>4</v>
      </c>
      <c r="F39" s="6">
        <v>2</v>
      </c>
      <c r="G39" s="6">
        <v>5</v>
      </c>
      <c r="H39" s="6">
        <v>5</v>
      </c>
      <c r="I39" s="6">
        <v>5</v>
      </c>
      <c r="J39" s="3" t="s">
        <v>98</v>
      </c>
      <c r="K39" s="3" t="s">
        <v>99</v>
      </c>
    </row>
    <row r="40" spans="1:11" x14ac:dyDescent="0.2">
      <c r="A40" s="1"/>
      <c r="B40" s="11"/>
      <c r="C40" s="6"/>
      <c r="D40" s="6"/>
      <c r="E40" s="6"/>
      <c r="F40" s="6"/>
      <c r="G40" s="6"/>
      <c r="H40" s="6"/>
      <c r="I40" s="6"/>
      <c r="J40" s="3"/>
      <c r="K40" s="3"/>
    </row>
    <row r="41" spans="1:11" ht="40" x14ac:dyDescent="0.2">
      <c r="A41" s="1"/>
      <c r="B41" s="11"/>
      <c r="C41" s="6"/>
      <c r="D41" s="6"/>
      <c r="E41" s="6"/>
      <c r="F41" s="6"/>
      <c r="G41" s="6"/>
      <c r="H41" s="6"/>
      <c r="I41" s="6"/>
      <c r="J41" s="3"/>
      <c r="K41" s="3" t="s">
        <v>100</v>
      </c>
    </row>
    <row r="42" spans="1:11" x14ac:dyDescent="0.2">
      <c r="A42" s="1"/>
      <c r="B42" s="11"/>
      <c r="C42" s="6"/>
      <c r="D42" s="6"/>
      <c r="E42" s="6"/>
      <c r="F42" s="6"/>
      <c r="G42" s="6"/>
      <c r="H42" s="6"/>
      <c r="I42" s="6"/>
      <c r="J42" s="3"/>
      <c r="K42" s="3"/>
    </row>
    <row r="43" spans="1:11" x14ac:dyDescent="0.2">
      <c r="A43" s="1"/>
      <c r="B43" s="11"/>
      <c r="C43" s="6"/>
      <c r="D43" s="6"/>
      <c r="E43" s="6"/>
      <c r="F43" s="6"/>
      <c r="G43" s="6"/>
      <c r="H43" s="6"/>
      <c r="I43" s="6"/>
      <c r="J43" s="3"/>
      <c r="K43" s="3" t="s">
        <v>101</v>
      </c>
    </row>
    <row r="44" spans="1:11" x14ac:dyDescent="0.2">
      <c r="A44" s="1"/>
      <c r="B44" s="11"/>
      <c r="C44" s="6"/>
      <c r="D44" s="6"/>
      <c r="E44" s="6"/>
      <c r="F44" s="6"/>
      <c r="G44" s="6"/>
      <c r="H44" s="6"/>
      <c r="I44" s="6"/>
      <c r="J44" s="3"/>
      <c r="K44" s="3" t="s">
        <v>102</v>
      </c>
    </row>
    <row r="45" spans="1:11" x14ac:dyDescent="0.2">
      <c r="A45" s="1"/>
      <c r="B45" s="11"/>
      <c r="C45" s="6"/>
      <c r="D45" s="6"/>
      <c r="E45" s="6"/>
      <c r="F45" s="6"/>
      <c r="G45" s="6"/>
      <c r="H45" s="6"/>
      <c r="I45" s="6"/>
      <c r="J45" s="3"/>
      <c r="K45" s="3" t="s">
        <v>103</v>
      </c>
    </row>
    <row r="46" spans="1:11" x14ac:dyDescent="0.2">
      <c r="A46" s="1"/>
      <c r="B46" s="11"/>
      <c r="C46" s="6"/>
      <c r="D46" s="6"/>
      <c r="E46" s="6"/>
      <c r="F46" s="6"/>
      <c r="G46" s="6"/>
      <c r="H46" s="6"/>
      <c r="I46" s="6"/>
      <c r="J46" s="3"/>
      <c r="K46" s="3" t="s">
        <v>104</v>
      </c>
    </row>
    <row r="47" spans="1:11" x14ac:dyDescent="0.2">
      <c r="A47" s="1"/>
      <c r="B47" s="11"/>
      <c r="C47" s="6"/>
      <c r="D47" s="6"/>
      <c r="E47" s="6"/>
      <c r="F47" s="6"/>
      <c r="G47" s="6"/>
      <c r="H47" s="6"/>
      <c r="I47" s="6"/>
      <c r="J47" s="3"/>
      <c r="K47" s="3" t="s">
        <v>105</v>
      </c>
    </row>
    <row r="48" spans="1:11" x14ac:dyDescent="0.2">
      <c r="A48" s="1"/>
      <c r="B48" s="11"/>
      <c r="C48" s="6"/>
      <c r="D48" s="6"/>
      <c r="E48" s="6"/>
      <c r="F48" s="6"/>
      <c r="G48" s="6"/>
      <c r="H48" s="6"/>
      <c r="I48" s="6"/>
      <c r="J48" s="3"/>
      <c r="K48" s="3" t="s">
        <v>106</v>
      </c>
    </row>
    <row r="49" spans="1:11" x14ac:dyDescent="0.2">
      <c r="A49" s="1"/>
      <c r="B49" s="11"/>
      <c r="C49" s="6"/>
      <c r="D49" s="6"/>
      <c r="E49" s="6"/>
      <c r="F49" s="6"/>
      <c r="G49" s="6"/>
      <c r="H49" s="6"/>
      <c r="I49" s="6"/>
      <c r="J49" s="3"/>
      <c r="K49" s="3" t="s">
        <v>107</v>
      </c>
    </row>
    <row r="50" spans="1:11" x14ac:dyDescent="0.2">
      <c r="A50" s="1"/>
      <c r="B50" s="11"/>
      <c r="C50" s="6"/>
      <c r="D50" s="6"/>
      <c r="E50" s="6"/>
      <c r="F50" s="6"/>
      <c r="G50" s="6"/>
      <c r="H50" s="6"/>
      <c r="I50" s="6"/>
      <c r="J50" s="3"/>
      <c r="K50" s="3" t="s">
        <v>108</v>
      </c>
    </row>
    <row r="51" spans="1:11" x14ac:dyDescent="0.2">
      <c r="A51" s="1"/>
      <c r="B51" s="11"/>
      <c r="C51" s="6"/>
      <c r="D51" s="6"/>
      <c r="E51" s="6"/>
      <c r="F51" s="6"/>
      <c r="G51" s="6"/>
      <c r="H51" s="6"/>
      <c r="I51" s="6"/>
      <c r="J51" s="3"/>
      <c r="K51" s="3" t="s">
        <v>109</v>
      </c>
    </row>
    <row r="52" spans="1:11" x14ac:dyDescent="0.2">
      <c r="A52" s="1"/>
      <c r="B52" s="11"/>
      <c r="C52" s="6"/>
      <c r="D52" s="6"/>
      <c r="E52" s="6"/>
      <c r="F52" s="6"/>
      <c r="G52" s="6"/>
      <c r="H52" s="6"/>
      <c r="I52" s="6"/>
      <c r="J52" s="3"/>
      <c r="K52" s="3" t="s">
        <v>110</v>
      </c>
    </row>
    <row r="53" spans="1:11" x14ac:dyDescent="0.2">
      <c r="A53" s="1"/>
      <c r="B53" s="11"/>
      <c r="C53" s="6"/>
      <c r="D53" s="6"/>
      <c r="E53" s="6"/>
      <c r="F53" s="6"/>
      <c r="G53" s="6"/>
      <c r="H53" s="6"/>
      <c r="I53" s="6"/>
      <c r="J53" s="3"/>
      <c r="K53" s="3" t="s">
        <v>111</v>
      </c>
    </row>
    <row r="54" spans="1:11" x14ac:dyDescent="0.2">
      <c r="A54" s="1"/>
      <c r="B54" s="11"/>
      <c r="C54" s="6"/>
      <c r="D54" s="6"/>
      <c r="E54" s="6"/>
      <c r="F54" s="6"/>
      <c r="G54" s="6"/>
      <c r="H54" s="6"/>
      <c r="I54" s="6"/>
      <c r="J54" s="3"/>
      <c r="K54" s="3"/>
    </row>
    <row r="55" spans="1:11" ht="160" x14ac:dyDescent="0.2">
      <c r="A55" s="1"/>
      <c r="B55" s="11"/>
      <c r="C55" s="6"/>
      <c r="D55" s="6"/>
      <c r="E55" s="6"/>
      <c r="F55" s="6"/>
      <c r="G55" s="6"/>
      <c r="H55" s="6"/>
      <c r="I55" s="6"/>
      <c r="J55" s="3"/>
      <c r="K55" s="3" t="s">
        <v>112</v>
      </c>
    </row>
    <row r="56" spans="1:11" ht="360" x14ac:dyDescent="0.2">
      <c r="A56" s="1" t="s">
        <v>113</v>
      </c>
      <c r="B56" s="11" t="s">
        <v>37</v>
      </c>
      <c r="C56" s="6">
        <v>5</v>
      </c>
      <c r="D56" s="6">
        <v>3</v>
      </c>
      <c r="E56" s="6">
        <v>5</v>
      </c>
      <c r="F56" s="6">
        <v>2</v>
      </c>
      <c r="G56" s="6">
        <v>5</v>
      </c>
      <c r="H56" s="6">
        <v>5</v>
      </c>
      <c r="I56" s="6">
        <v>5</v>
      </c>
      <c r="J56" s="3" t="s">
        <v>114</v>
      </c>
      <c r="K56" s="3" t="s">
        <v>115</v>
      </c>
    </row>
    <row r="57" spans="1:11" x14ac:dyDescent="0.2">
      <c r="A57" s="1"/>
      <c r="B57" s="11"/>
      <c r="C57" s="6"/>
      <c r="D57" s="6"/>
      <c r="E57" s="6"/>
      <c r="F57" s="6"/>
      <c r="G57" s="6"/>
      <c r="H57" s="6"/>
      <c r="I57" s="6"/>
      <c r="J57" s="3"/>
      <c r="K57" s="3"/>
    </row>
    <row r="58" spans="1:11" x14ac:dyDescent="0.2">
      <c r="A58" s="1"/>
      <c r="B58" s="11"/>
      <c r="C58" s="6"/>
      <c r="D58" s="6"/>
      <c r="E58" s="6"/>
      <c r="F58" s="6"/>
      <c r="G58" s="6"/>
      <c r="H58" s="6"/>
      <c r="I58" s="6"/>
      <c r="J58" s="3"/>
      <c r="K58" s="3" t="s">
        <v>116</v>
      </c>
    </row>
    <row r="59" spans="1:11" x14ac:dyDescent="0.2">
      <c r="A59" s="1"/>
      <c r="B59" s="11"/>
      <c r="C59" s="6"/>
      <c r="D59" s="6"/>
      <c r="E59" s="6"/>
      <c r="F59" s="6"/>
      <c r="G59" s="6"/>
      <c r="H59" s="6"/>
      <c r="I59" s="6"/>
      <c r="J59" s="3"/>
      <c r="K59" s="3" t="s">
        <v>117</v>
      </c>
    </row>
    <row r="60" spans="1:11" x14ac:dyDescent="0.2">
      <c r="A60" s="1"/>
      <c r="B60" s="11"/>
      <c r="C60" s="6"/>
      <c r="D60" s="6"/>
      <c r="E60" s="6"/>
      <c r="F60" s="6"/>
      <c r="G60" s="6"/>
      <c r="H60" s="6"/>
      <c r="I60" s="6"/>
      <c r="J60" s="3"/>
      <c r="K60" s="3" t="s">
        <v>118</v>
      </c>
    </row>
    <row r="61" spans="1:11" x14ac:dyDescent="0.2">
      <c r="A61" s="1"/>
      <c r="B61" s="11"/>
      <c r="C61" s="6"/>
      <c r="D61" s="6"/>
      <c r="E61" s="6"/>
      <c r="F61" s="6"/>
      <c r="G61" s="6"/>
      <c r="H61" s="6"/>
      <c r="I61" s="6"/>
      <c r="J61" s="3"/>
      <c r="K61" s="3" t="s">
        <v>119</v>
      </c>
    </row>
    <row r="62" spans="1:11" ht="40" x14ac:dyDescent="0.2">
      <c r="A62" s="1"/>
      <c r="B62" s="11"/>
      <c r="C62" s="6"/>
      <c r="D62" s="6"/>
      <c r="E62" s="6"/>
      <c r="F62" s="6"/>
      <c r="G62" s="6"/>
      <c r="H62" s="6"/>
      <c r="I62" s="6"/>
      <c r="J62" s="3"/>
      <c r="K62" s="3" t="s">
        <v>120</v>
      </c>
    </row>
    <row r="63" spans="1:11" x14ac:dyDescent="0.2">
      <c r="A63" s="1"/>
      <c r="B63" s="11"/>
      <c r="C63" s="6"/>
      <c r="D63" s="6"/>
      <c r="E63" s="6"/>
      <c r="F63" s="6"/>
      <c r="G63" s="6"/>
      <c r="H63" s="6"/>
      <c r="I63" s="6"/>
      <c r="J63" s="3"/>
      <c r="K63" s="3"/>
    </row>
    <row r="64" spans="1:11" ht="100" x14ac:dyDescent="0.2">
      <c r="A64" s="1"/>
      <c r="B64" s="11"/>
      <c r="C64" s="6"/>
      <c r="D64" s="6"/>
      <c r="E64" s="6"/>
      <c r="F64" s="6"/>
      <c r="G64" s="6"/>
      <c r="H64" s="6"/>
      <c r="I64" s="6"/>
      <c r="J64" s="3"/>
      <c r="K64" s="3" t="s">
        <v>121</v>
      </c>
    </row>
    <row r="65" spans="1:11" ht="220" x14ac:dyDescent="0.2">
      <c r="A65" s="1" t="s">
        <v>122</v>
      </c>
      <c r="B65" s="11" t="s">
        <v>123</v>
      </c>
      <c r="C65" s="6">
        <v>5</v>
      </c>
      <c r="D65" s="6">
        <v>4</v>
      </c>
      <c r="E65" s="6">
        <v>5</v>
      </c>
      <c r="F65" s="6">
        <v>3</v>
      </c>
      <c r="G65" s="6">
        <v>5</v>
      </c>
      <c r="H65" s="6">
        <v>5</v>
      </c>
      <c r="I65" s="6">
        <v>5</v>
      </c>
      <c r="J65" s="3" t="s">
        <v>124</v>
      </c>
      <c r="K65" s="3" t="s">
        <v>125</v>
      </c>
    </row>
    <row r="66" spans="1:11" ht="380" x14ac:dyDescent="0.2">
      <c r="A66" s="1" t="s">
        <v>128</v>
      </c>
      <c r="B66" s="11" t="s">
        <v>27</v>
      </c>
      <c r="C66" s="6">
        <v>4</v>
      </c>
      <c r="D66" s="6">
        <v>5</v>
      </c>
      <c r="E66" s="6">
        <v>3</v>
      </c>
      <c r="F66" s="6">
        <v>3</v>
      </c>
      <c r="G66" s="6">
        <v>4</v>
      </c>
      <c r="H66" s="6">
        <v>4</v>
      </c>
      <c r="I66" s="6">
        <v>3</v>
      </c>
      <c r="J66" s="3" t="s">
        <v>129</v>
      </c>
      <c r="K66" s="3" t="s">
        <v>130</v>
      </c>
    </row>
    <row r="67" spans="1:11" x14ac:dyDescent="0.2">
      <c r="A67" s="1"/>
      <c r="B67" s="11"/>
      <c r="C67" s="6"/>
      <c r="D67" s="6"/>
      <c r="E67" s="6"/>
      <c r="F67" s="6"/>
      <c r="G67" s="6"/>
      <c r="H67" s="6"/>
      <c r="I67" s="6"/>
      <c r="J67" s="3"/>
      <c r="K67" s="3"/>
    </row>
    <row r="68" spans="1:11" ht="40" x14ac:dyDescent="0.2">
      <c r="A68" s="1"/>
      <c r="B68" s="11"/>
      <c r="C68" s="6"/>
      <c r="D68" s="6"/>
      <c r="E68" s="6"/>
      <c r="F68" s="6"/>
      <c r="G68" s="6"/>
      <c r="H68" s="6"/>
      <c r="I68" s="6"/>
      <c r="J68" s="3"/>
      <c r="K68" s="3" t="s">
        <v>131</v>
      </c>
    </row>
    <row r="69" spans="1:11" x14ac:dyDescent="0.2">
      <c r="A69" s="1"/>
      <c r="B69" s="11"/>
      <c r="C69" s="6"/>
      <c r="D69" s="6"/>
      <c r="E69" s="6"/>
      <c r="F69" s="6"/>
      <c r="G69" s="6"/>
      <c r="H69" s="6"/>
      <c r="I69" s="6"/>
      <c r="J69" s="3"/>
      <c r="K69" s="3"/>
    </row>
    <row r="70" spans="1:11" ht="60" x14ac:dyDescent="0.2">
      <c r="A70" s="1"/>
      <c r="B70" s="11"/>
      <c r="C70" s="6"/>
      <c r="D70" s="6"/>
      <c r="E70" s="6"/>
      <c r="F70" s="6"/>
      <c r="G70" s="6"/>
      <c r="H70" s="6"/>
      <c r="I70" s="6"/>
      <c r="J70" s="3"/>
      <c r="K70" s="3" t="s">
        <v>132</v>
      </c>
    </row>
    <row r="71" spans="1:11" ht="60" x14ac:dyDescent="0.2">
      <c r="A71" s="1"/>
      <c r="B71" s="11"/>
      <c r="C71" s="6"/>
      <c r="D71" s="6"/>
      <c r="E71" s="6"/>
      <c r="F71" s="6"/>
      <c r="G71" s="6"/>
      <c r="H71" s="6"/>
      <c r="I71" s="6"/>
      <c r="J71" s="3"/>
      <c r="K71" s="3" t="s">
        <v>133</v>
      </c>
    </row>
    <row r="72" spans="1:11" ht="40" x14ac:dyDescent="0.2">
      <c r="A72" s="1"/>
      <c r="B72" s="11"/>
      <c r="C72" s="6"/>
      <c r="D72" s="6"/>
      <c r="E72" s="6"/>
      <c r="F72" s="6"/>
      <c r="G72" s="6"/>
      <c r="H72" s="6"/>
      <c r="I72" s="6"/>
      <c r="J72" s="3"/>
      <c r="K72" s="3" t="s">
        <v>134</v>
      </c>
    </row>
    <row r="73" spans="1:11" x14ac:dyDescent="0.2">
      <c r="A73" s="1"/>
      <c r="B73" s="11"/>
      <c r="C73" s="6"/>
      <c r="D73" s="6"/>
      <c r="E73" s="6"/>
      <c r="F73" s="6"/>
      <c r="G73" s="6"/>
      <c r="H73" s="6"/>
      <c r="I73" s="6"/>
      <c r="J73" s="3"/>
      <c r="K73" s="3"/>
    </row>
    <row r="74" spans="1:11" ht="80" x14ac:dyDescent="0.2">
      <c r="A74" s="1"/>
      <c r="B74" s="11"/>
      <c r="C74" s="6"/>
      <c r="D74" s="6"/>
      <c r="E74" s="6"/>
      <c r="F74" s="6"/>
      <c r="G74" s="6"/>
      <c r="H74" s="6"/>
      <c r="I74" s="6"/>
      <c r="J74" s="3"/>
      <c r="K74" s="3" t="s">
        <v>135</v>
      </c>
    </row>
    <row r="75" spans="1:11" x14ac:dyDescent="0.2">
      <c r="A75" s="1"/>
      <c r="B75" s="11"/>
      <c r="C75" s="6"/>
      <c r="D75" s="6"/>
      <c r="E75" s="6"/>
      <c r="F75" s="6"/>
      <c r="G75" s="6"/>
      <c r="H75" s="6"/>
      <c r="I75" s="6"/>
      <c r="J75" s="3"/>
      <c r="K75" s="3"/>
    </row>
    <row r="76" spans="1:11" ht="120" x14ac:dyDescent="0.2">
      <c r="A76" s="1"/>
      <c r="B76" s="11"/>
      <c r="C76" s="6"/>
      <c r="D76" s="6"/>
      <c r="E76" s="6"/>
      <c r="F76" s="6"/>
      <c r="G76" s="6"/>
      <c r="H76" s="6"/>
      <c r="I76" s="6"/>
      <c r="J76" s="3"/>
      <c r="K76" s="3" t="s">
        <v>136</v>
      </c>
    </row>
    <row r="77" spans="1:11" ht="320" x14ac:dyDescent="0.2">
      <c r="A77" s="1" t="s">
        <v>137</v>
      </c>
      <c r="B77" s="11" t="s">
        <v>61</v>
      </c>
      <c r="C77" s="6">
        <v>4</v>
      </c>
      <c r="D77" s="6">
        <v>4</v>
      </c>
      <c r="E77" s="6">
        <v>4</v>
      </c>
      <c r="F77" s="6">
        <v>2</v>
      </c>
      <c r="G77" s="6">
        <v>5</v>
      </c>
      <c r="H77" s="6">
        <v>5</v>
      </c>
      <c r="I77" s="6">
        <v>5</v>
      </c>
      <c r="J77" s="3" t="s">
        <v>138</v>
      </c>
      <c r="K77" s="3" t="s">
        <v>139</v>
      </c>
    </row>
    <row r="78" spans="1:11" x14ac:dyDescent="0.2">
      <c r="A78" s="1"/>
      <c r="B78" s="11"/>
      <c r="C78" s="6"/>
      <c r="D78" s="6"/>
      <c r="E78" s="6"/>
      <c r="F78" s="6"/>
      <c r="G78" s="6"/>
      <c r="H78" s="6"/>
      <c r="I78" s="6"/>
      <c r="J78" s="3"/>
      <c r="K78" s="3"/>
    </row>
    <row r="79" spans="1:11" ht="60" x14ac:dyDescent="0.2">
      <c r="A79" s="1"/>
      <c r="B79" s="11"/>
      <c r="C79" s="6"/>
      <c r="D79" s="6"/>
      <c r="E79" s="6"/>
      <c r="F79" s="6"/>
      <c r="G79" s="6"/>
      <c r="H79" s="6"/>
      <c r="I79" s="6"/>
      <c r="J79" s="3"/>
      <c r="K79" s="3" t="s">
        <v>140</v>
      </c>
    </row>
    <row r="80" spans="1:11" x14ac:dyDescent="0.2">
      <c r="A80" s="1"/>
      <c r="B80" s="11"/>
      <c r="C80" s="6"/>
      <c r="D80" s="6"/>
      <c r="E80" s="6"/>
      <c r="F80" s="6"/>
      <c r="G80" s="6"/>
      <c r="H80" s="6"/>
      <c r="I80" s="6"/>
      <c r="J80" s="3"/>
      <c r="K80" s="3" t="s">
        <v>141</v>
      </c>
    </row>
    <row r="81" spans="1:11" ht="40" x14ac:dyDescent="0.2">
      <c r="A81" s="1"/>
      <c r="B81" s="11"/>
      <c r="C81" s="6"/>
      <c r="D81" s="6"/>
      <c r="E81" s="6"/>
      <c r="F81" s="6"/>
      <c r="G81" s="6"/>
      <c r="H81" s="6"/>
      <c r="I81" s="6"/>
      <c r="J81" s="3"/>
      <c r="K81" s="3" t="s">
        <v>142</v>
      </c>
    </row>
    <row r="82" spans="1:11" x14ac:dyDescent="0.2">
      <c r="A82" s="1"/>
      <c r="B82" s="11"/>
      <c r="C82" s="6"/>
      <c r="D82" s="6"/>
      <c r="E82" s="6"/>
      <c r="F82" s="6"/>
      <c r="G82" s="6"/>
      <c r="H82" s="6"/>
      <c r="I82" s="6"/>
      <c r="J82" s="3"/>
      <c r="K82" s="3" t="s">
        <v>143</v>
      </c>
    </row>
    <row r="83" spans="1:11" x14ac:dyDescent="0.2">
      <c r="A83" s="1"/>
      <c r="B83" s="11"/>
      <c r="C83" s="6"/>
      <c r="D83" s="6"/>
      <c r="E83" s="6"/>
      <c r="F83" s="6"/>
      <c r="G83" s="6"/>
      <c r="H83" s="6"/>
      <c r="I83" s="6"/>
      <c r="J83" s="3"/>
      <c r="K83" s="3" t="s">
        <v>144</v>
      </c>
    </row>
    <row r="84" spans="1:11" x14ac:dyDescent="0.2">
      <c r="A84" s="1"/>
      <c r="B84" s="11"/>
      <c r="C84" s="6"/>
      <c r="D84" s="6"/>
      <c r="E84" s="6"/>
      <c r="F84" s="6"/>
      <c r="G84" s="6"/>
      <c r="H84" s="6"/>
      <c r="I84" s="6"/>
      <c r="J84" s="3"/>
      <c r="K84" s="3" t="s">
        <v>145</v>
      </c>
    </row>
    <row r="85" spans="1:11" ht="40" x14ac:dyDescent="0.2">
      <c r="A85" s="1"/>
      <c r="B85" s="11"/>
      <c r="C85" s="6"/>
      <c r="D85" s="6"/>
      <c r="E85" s="6"/>
      <c r="F85" s="6"/>
      <c r="G85" s="6"/>
      <c r="H85" s="6"/>
      <c r="I85" s="6"/>
      <c r="J85" s="3"/>
      <c r="K85" s="3" t="s">
        <v>146</v>
      </c>
    </row>
    <row r="86" spans="1:11" x14ac:dyDescent="0.2">
      <c r="A86" s="1"/>
      <c r="B86" s="11"/>
      <c r="C86" s="6"/>
      <c r="D86" s="6"/>
      <c r="E86" s="6"/>
      <c r="F86" s="6"/>
      <c r="G86" s="6"/>
      <c r="H86" s="6"/>
      <c r="I86" s="6"/>
      <c r="J86" s="3"/>
      <c r="K86" s="3" t="s">
        <v>147</v>
      </c>
    </row>
    <row r="87" spans="1:11" x14ac:dyDescent="0.2">
      <c r="A87" s="1"/>
      <c r="B87" s="11"/>
      <c r="C87" s="6"/>
      <c r="D87" s="6"/>
      <c r="E87" s="6"/>
      <c r="F87" s="6"/>
      <c r="G87" s="6"/>
      <c r="H87" s="6"/>
      <c r="I87" s="6"/>
      <c r="J87" s="3"/>
      <c r="K87" s="3"/>
    </row>
    <row r="88" spans="1:11" ht="80" x14ac:dyDescent="0.2">
      <c r="A88" s="1"/>
      <c r="B88" s="11"/>
      <c r="C88" s="6"/>
      <c r="D88" s="6"/>
      <c r="E88" s="6"/>
      <c r="F88" s="6"/>
      <c r="G88" s="6"/>
      <c r="H88" s="6"/>
      <c r="I88" s="6"/>
      <c r="J88" s="3"/>
      <c r="K88" s="3" t="s">
        <v>148</v>
      </c>
    </row>
    <row r="89" spans="1:11" ht="200" x14ac:dyDescent="0.2">
      <c r="A89" s="1" t="s">
        <v>149</v>
      </c>
      <c r="B89" s="11" t="s">
        <v>123</v>
      </c>
      <c r="C89" s="6">
        <v>4</v>
      </c>
      <c r="D89" s="6">
        <v>4</v>
      </c>
      <c r="E89" s="6">
        <v>3</v>
      </c>
      <c r="F89" s="6">
        <v>2</v>
      </c>
      <c r="G89" s="6">
        <v>5</v>
      </c>
      <c r="H89" s="6">
        <v>5</v>
      </c>
      <c r="I89" s="6">
        <v>5</v>
      </c>
      <c r="J89" s="3" t="s">
        <v>150</v>
      </c>
      <c r="K89" s="3" t="s">
        <v>151</v>
      </c>
    </row>
    <row r="90" spans="1:11" ht="260" x14ac:dyDescent="0.2">
      <c r="A90" s="1" t="s">
        <v>113</v>
      </c>
      <c r="B90" s="11" t="s">
        <v>97</v>
      </c>
      <c r="C90" s="6">
        <v>4</v>
      </c>
      <c r="D90" s="6">
        <v>5</v>
      </c>
      <c r="E90" s="6">
        <v>4</v>
      </c>
      <c r="F90" s="6">
        <v>3</v>
      </c>
      <c r="G90" s="6">
        <v>5</v>
      </c>
      <c r="H90" s="6">
        <v>5</v>
      </c>
      <c r="I90" s="6">
        <v>4</v>
      </c>
      <c r="J90" s="3" t="s">
        <v>152</v>
      </c>
      <c r="K90" s="3" t="s">
        <v>153</v>
      </c>
    </row>
    <row r="91" spans="1:11" x14ac:dyDescent="0.2">
      <c r="A91" s="1"/>
      <c r="B91" s="11"/>
      <c r="C91" s="6"/>
      <c r="D91" s="6"/>
      <c r="E91" s="6"/>
      <c r="F91" s="6"/>
      <c r="G91" s="6"/>
      <c r="H91" s="6"/>
      <c r="I91" s="6"/>
      <c r="J91" s="3"/>
      <c r="K91" s="3"/>
    </row>
    <row r="92" spans="1:11" ht="40" x14ac:dyDescent="0.2">
      <c r="A92" s="1"/>
      <c r="B92" s="11"/>
      <c r="C92" s="6"/>
      <c r="D92" s="6"/>
      <c r="E92" s="6"/>
      <c r="F92" s="6"/>
      <c r="G92" s="6"/>
      <c r="H92" s="6"/>
      <c r="I92" s="6"/>
      <c r="J92" s="3"/>
      <c r="K92" s="3" t="s">
        <v>100</v>
      </c>
    </row>
    <row r="93" spans="1:11" x14ac:dyDescent="0.2">
      <c r="A93" s="1"/>
      <c r="B93" s="11"/>
      <c r="C93" s="6"/>
      <c r="D93" s="6"/>
      <c r="E93" s="6"/>
      <c r="F93" s="6"/>
      <c r="G93" s="6"/>
      <c r="H93" s="6"/>
      <c r="I93" s="6"/>
      <c r="J93" s="3"/>
      <c r="K93" s="3"/>
    </row>
    <row r="94" spans="1:11" x14ac:dyDescent="0.2">
      <c r="A94" s="1"/>
      <c r="B94" s="11"/>
      <c r="C94" s="6"/>
      <c r="D94" s="6"/>
      <c r="E94" s="6"/>
      <c r="F94" s="6"/>
      <c r="G94" s="6"/>
      <c r="H94" s="6"/>
      <c r="I94" s="6"/>
      <c r="J94" s="3"/>
      <c r="K94" s="3" t="s">
        <v>154</v>
      </c>
    </row>
    <row r="95" spans="1:11" x14ac:dyDescent="0.2">
      <c r="A95" s="1"/>
      <c r="B95" s="11"/>
      <c r="C95" s="6"/>
      <c r="D95" s="6"/>
      <c r="E95" s="6"/>
      <c r="F95" s="6"/>
      <c r="G95" s="6"/>
      <c r="H95" s="6"/>
      <c r="I95" s="6"/>
      <c r="J95" s="3"/>
      <c r="K95" s="3" t="s">
        <v>155</v>
      </c>
    </row>
    <row r="96" spans="1:11" x14ac:dyDescent="0.2">
      <c r="A96" s="1"/>
      <c r="B96" s="11"/>
      <c r="C96" s="6"/>
      <c r="D96" s="6"/>
      <c r="E96" s="6"/>
      <c r="F96" s="6"/>
      <c r="G96" s="6"/>
      <c r="H96" s="6"/>
      <c r="I96" s="6"/>
      <c r="J96" s="3"/>
      <c r="K96" s="3" t="s">
        <v>156</v>
      </c>
    </row>
    <row r="97" spans="1:11" x14ac:dyDescent="0.2">
      <c r="A97" s="1"/>
      <c r="B97" s="11"/>
      <c r="C97" s="6"/>
      <c r="D97" s="6"/>
      <c r="E97" s="6"/>
      <c r="F97" s="6"/>
      <c r="G97" s="6"/>
      <c r="H97" s="6"/>
      <c r="I97" s="6"/>
      <c r="J97" s="3"/>
      <c r="K97" s="3" t="s">
        <v>157</v>
      </c>
    </row>
    <row r="98" spans="1:11" x14ac:dyDescent="0.2">
      <c r="A98" s="1"/>
      <c r="B98" s="11"/>
      <c r="C98" s="6"/>
      <c r="D98" s="6"/>
      <c r="E98" s="6"/>
      <c r="F98" s="6"/>
      <c r="G98" s="6"/>
      <c r="H98" s="6"/>
      <c r="I98" s="6"/>
      <c r="J98" s="3"/>
      <c r="K98" s="3" t="s">
        <v>158</v>
      </c>
    </row>
    <row r="99" spans="1:11" x14ac:dyDescent="0.2">
      <c r="A99" s="1"/>
      <c r="B99" s="11"/>
      <c r="C99" s="6"/>
      <c r="D99" s="6"/>
      <c r="E99" s="6"/>
      <c r="F99" s="6"/>
      <c r="G99" s="6"/>
      <c r="H99" s="6"/>
      <c r="I99" s="6"/>
      <c r="J99" s="3"/>
      <c r="K99" s="3" t="s">
        <v>159</v>
      </c>
    </row>
    <row r="100" spans="1:11" x14ac:dyDescent="0.2">
      <c r="A100" s="1"/>
      <c r="B100" s="11"/>
      <c r="C100" s="6"/>
      <c r="D100" s="6"/>
      <c r="E100" s="6"/>
      <c r="F100" s="6"/>
      <c r="G100" s="6"/>
      <c r="H100" s="6"/>
      <c r="I100" s="6"/>
      <c r="J100" s="3"/>
      <c r="K100" s="3" t="s">
        <v>160</v>
      </c>
    </row>
    <row r="101" spans="1:11" x14ac:dyDescent="0.2">
      <c r="A101" s="1"/>
      <c r="B101" s="11"/>
      <c r="C101" s="6"/>
      <c r="D101" s="6"/>
      <c r="E101" s="6"/>
      <c r="F101" s="6"/>
      <c r="G101" s="6"/>
      <c r="H101" s="6"/>
      <c r="I101" s="6"/>
      <c r="J101" s="3"/>
      <c r="K101" s="3" t="s">
        <v>161</v>
      </c>
    </row>
    <row r="102" spans="1:11" x14ac:dyDescent="0.2">
      <c r="A102" s="1"/>
      <c r="B102" s="11"/>
      <c r="C102" s="6"/>
      <c r="D102" s="6"/>
      <c r="E102" s="6"/>
      <c r="F102" s="6"/>
      <c r="G102" s="6"/>
      <c r="H102" s="6"/>
      <c r="I102" s="6"/>
      <c r="J102" s="3"/>
      <c r="K102" s="3" t="s">
        <v>162</v>
      </c>
    </row>
    <row r="103" spans="1:11" x14ac:dyDescent="0.2">
      <c r="A103" s="1"/>
      <c r="B103" s="11"/>
      <c r="C103" s="6"/>
      <c r="D103" s="6"/>
      <c r="E103" s="6"/>
      <c r="F103" s="6"/>
      <c r="G103" s="6"/>
      <c r="H103" s="6"/>
      <c r="I103" s="6"/>
      <c r="J103" s="3"/>
      <c r="K103" s="3" t="s">
        <v>163</v>
      </c>
    </row>
    <row r="104" spans="1:11" x14ac:dyDescent="0.2">
      <c r="A104" s="1"/>
      <c r="B104" s="11"/>
      <c r="C104" s="6"/>
      <c r="D104" s="6"/>
      <c r="E104" s="6"/>
      <c r="F104" s="6"/>
      <c r="G104" s="6"/>
      <c r="H104" s="6"/>
      <c r="I104" s="6"/>
      <c r="J104" s="3"/>
      <c r="K104" s="3"/>
    </row>
    <row r="105" spans="1:11" ht="140" x14ac:dyDescent="0.2">
      <c r="A105" s="1"/>
      <c r="B105" s="11"/>
      <c r="C105" s="6"/>
      <c r="D105" s="6"/>
      <c r="E105" s="6"/>
      <c r="F105" s="6"/>
      <c r="G105" s="6"/>
      <c r="H105" s="6"/>
      <c r="I105" s="6"/>
      <c r="J105" s="3"/>
      <c r="K105" s="3" t="s">
        <v>164</v>
      </c>
    </row>
    <row r="106" spans="1:11" x14ac:dyDescent="0.2">
      <c r="A106" s="1"/>
      <c r="B106" s="11"/>
      <c r="C106" s="6"/>
      <c r="D106" s="6"/>
      <c r="E106" s="6"/>
      <c r="F106" s="6"/>
      <c r="G106" s="6"/>
      <c r="H106" s="6"/>
      <c r="I106" s="6"/>
      <c r="J106" s="3"/>
      <c r="K106" s="3"/>
    </row>
    <row r="107" spans="1:11" ht="80" x14ac:dyDescent="0.2">
      <c r="A107" s="1"/>
      <c r="B107" s="11"/>
      <c r="C107" s="6"/>
      <c r="D107" s="6"/>
      <c r="E107" s="6"/>
      <c r="F107" s="6"/>
      <c r="G107" s="6"/>
      <c r="H107" s="6"/>
      <c r="I107" s="6"/>
      <c r="J107" s="3"/>
      <c r="K107" s="3" t="s">
        <v>165</v>
      </c>
    </row>
    <row r="108" spans="1:11" ht="340" x14ac:dyDescent="0.2">
      <c r="A108" s="1" t="s">
        <v>60</v>
      </c>
      <c r="B108" s="11" t="s">
        <v>168</v>
      </c>
      <c r="C108" s="6">
        <v>4</v>
      </c>
      <c r="D108" s="6">
        <v>2</v>
      </c>
      <c r="E108" s="6">
        <v>1</v>
      </c>
      <c r="F108" s="6">
        <v>1</v>
      </c>
      <c r="G108" s="6">
        <v>5</v>
      </c>
      <c r="H108" s="6">
        <v>4</v>
      </c>
      <c r="I108" s="6">
        <v>5</v>
      </c>
      <c r="J108" s="3" t="s">
        <v>169</v>
      </c>
      <c r="K108" s="3" t="s">
        <v>170</v>
      </c>
    </row>
    <row r="109" spans="1:11" ht="320" x14ac:dyDescent="0.2">
      <c r="A109" s="1" t="s">
        <v>171</v>
      </c>
      <c r="B109" s="11" t="s">
        <v>23</v>
      </c>
      <c r="C109" s="6">
        <v>4</v>
      </c>
      <c r="D109" s="6">
        <v>5</v>
      </c>
      <c r="E109" s="6">
        <v>4</v>
      </c>
      <c r="F109" s="6">
        <v>3</v>
      </c>
      <c r="G109" s="6">
        <v>5</v>
      </c>
      <c r="H109" s="6">
        <v>5</v>
      </c>
      <c r="I109" s="6">
        <v>4</v>
      </c>
      <c r="J109" s="3" t="s">
        <v>172</v>
      </c>
      <c r="K109" s="3" t="s">
        <v>173</v>
      </c>
    </row>
    <row r="110" spans="1:11" x14ac:dyDescent="0.2">
      <c r="A110" s="1"/>
      <c r="B110" s="11"/>
      <c r="C110" s="6"/>
      <c r="D110" s="6"/>
      <c r="E110" s="6"/>
      <c r="F110" s="6"/>
      <c r="G110" s="6"/>
      <c r="H110" s="6"/>
      <c r="I110" s="6"/>
      <c r="J110" s="3"/>
      <c r="K110" s="3"/>
    </row>
    <row r="111" spans="1:11" x14ac:dyDescent="0.2">
      <c r="A111" s="1"/>
      <c r="B111" s="11"/>
      <c r="C111" s="6"/>
      <c r="D111" s="6"/>
      <c r="E111" s="6"/>
      <c r="F111" s="6"/>
      <c r="G111" s="6"/>
      <c r="H111" s="6"/>
      <c r="I111" s="6"/>
      <c r="J111" s="3"/>
      <c r="K111" s="3" t="s">
        <v>174</v>
      </c>
    </row>
    <row r="112" spans="1:11" x14ac:dyDescent="0.2">
      <c r="A112" s="1"/>
      <c r="B112" s="11"/>
      <c r="C112" s="6"/>
      <c r="D112" s="6"/>
      <c r="E112" s="6"/>
      <c r="F112" s="6"/>
      <c r="G112" s="6"/>
      <c r="H112" s="6"/>
      <c r="I112" s="6"/>
      <c r="J112" s="3"/>
      <c r="K112" s="3"/>
    </row>
    <row r="113" spans="1:11" x14ac:dyDescent="0.2">
      <c r="A113" s="1"/>
      <c r="B113" s="11"/>
      <c r="C113" s="6"/>
      <c r="D113" s="6"/>
      <c r="E113" s="6"/>
      <c r="F113" s="6"/>
      <c r="G113" s="6"/>
      <c r="H113" s="6"/>
      <c r="I113" s="6"/>
      <c r="J113" s="3"/>
      <c r="K113" s="3" t="s">
        <v>175</v>
      </c>
    </row>
    <row r="114" spans="1:11" x14ac:dyDescent="0.2">
      <c r="A114" s="1"/>
      <c r="B114" s="11"/>
      <c r="C114" s="6"/>
      <c r="D114" s="6"/>
      <c r="E114" s="6"/>
      <c r="F114" s="6"/>
      <c r="G114" s="6"/>
      <c r="H114" s="6"/>
      <c r="I114" s="6"/>
      <c r="J114" s="3"/>
      <c r="K114" s="3" t="s">
        <v>176</v>
      </c>
    </row>
    <row r="115" spans="1:11" x14ac:dyDescent="0.2">
      <c r="A115" s="1"/>
      <c r="B115" s="11"/>
      <c r="C115" s="6"/>
      <c r="D115" s="6"/>
      <c r="E115" s="6"/>
      <c r="F115" s="6"/>
      <c r="G115" s="6"/>
      <c r="H115" s="6"/>
      <c r="I115" s="6"/>
      <c r="J115" s="3"/>
      <c r="K115" s="3" t="s">
        <v>177</v>
      </c>
    </row>
    <row r="116" spans="1:11" x14ac:dyDescent="0.2">
      <c r="A116" s="1"/>
      <c r="B116" s="11"/>
      <c r="C116" s="6"/>
      <c r="D116" s="6"/>
      <c r="E116" s="6"/>
      <c r="F116" s="6"/>
      <c r="G116" s="6"/>
      <c r="H116" s="6"/>
      <c r="I116" s="6"/>
      <c r="J116" s="3"/>
      <c r="K116" s="3" t="s">
        <v>178</v>
      </c>
    </row>
    <row r="117" spans="1:11" x14ac:dyDescent="0.2">
      <c r="A117" s="1"/>
      <c r="B117" s="11"/>
      <c r="C117" s="6"/>
      <c r="D117" s="6"/>
      <c r="E117" s="6"/>
      <c r="F117" s="6"/>
      <c r="G117" s="6"/>
      <c r="H117" s="6"/>
      <c r="I117" s="6"/>
      <c r="J117" s="3"/>
      <c r="K117" s="3" t="s">
        <v>179</v>
      </c>
    </row>
    <row r="118" spans="1:11" x14ac:dyDescent="0.2">
      <c r="A118" s="1"/>
      <c r="B118" s="11"/>
      <c r="C118" s="6"/>
      <c r="D118" s="6"/>
      <c r="E118" s="6"/>
      <c r="F118" s="6"/>
      <c r="G118" s="6"/>
      <c r="H118" s="6"/>
      <c r="I118" s="6"/>
      <c r="J118" s="3"/>
      <c r="K118" s="3"/>
    </row>
    <row r="119" spans="1:11" ht="80" x14ac:dyDescent="0.2">
      <c r="A119" s="1"/>
      <c r="B119" s="11"/>
      <c r="C119" s="6"/>
      <c r="D119" s="6"/>
      <c r="E119" s="6"/>
      <c r="F119" s="6"/>
      <c r="G119" s="6"/>
      <c r="H119" s="6"/>
      <c r="I119" s="6"/>
      <c r="J119" s="3"/>
      <c r="K119" s="3" t="s">
        <v>180</v>
      </c>
    </row>
    <row r="120" spans="1:11" x14ac:dyDescent="0.2">
      <c r="A120" s="1"/>
      <c r="B120" s="11"/>
      <c r="C120" s="6"/>
      <c r="D120" s="6"/>
      <c r="E120" s="6"/>
      <c r="F120" s="6"/>
      <c r="G120" s="6"/>
      <c r="H120" s="6"/>
      <c r="I120" s="6"/>
      <c r="J120" s="3"/>
      <c r="K120" s="3"/>
    </row>
    <row r="121" spans="1:11" ht="100" x14ac:dyDescent="0.2">
      <c r="A121" s="1"/>
      <c r="B121" s="11"/>
      <c r="C121" s="6"/>
      <c r="D121" s="6"/>
      <c r="E121" s="6"/>
      <c r="F121" s="6"/>
      <c r="G121" s="6"/>
      <c r="H121" s="6"/>
      <c r="I121" s="6"/>
      <c r="J121" s="3"/>
      <c r="K121" s="3" t="s">
        <v>181</v>
      </c>
    </row>
    <row r="122" spans="1:11" ht="260" x14ac:dyDescent="0.2">
      <c r="A122" s="1" t="s">
        <v>182</v>
      </c>
      <c r="B122" s="11" t="s">
        <v>23</v>
      </c>
      <c r="C122" s="6">
        <v>4</v>
      </c>
      <c r="D122" s="6">
        <v>5</v>
      </c>
      <c r="E122" s="6">
        <v>5</v>
      </c>
      <c r="F122" s="6">
        <v>2</v>
      </c>
      <c r="G122" s="6">
        <v>5</v>
      </c>
      <c r="H122" s="6">
        <v>5</v>
      </c>
      <c r="I122" s="6">
        <v>4</v>
      </c>
      <c r="J122" s="3" t="s">
        <v>183</v>
      </c>
      <c r="K122" s="3" t="s">
        <v>184</v>
      </c>
    </row>
    <row r="123" spans="1:11" x14ac:dyDescent="0.2">
      <c r="A123" s="1"/>
      <c r="B123" s="11"/>
      <c r="C123" s="6"/>
      <c r="D123" s="6"/>
      <c r="E123" s="6"/>
      <c r="F123" s="6"/>
      <c r="G123" s="6"/>
      <c r="H123" s="6"/>
      <c r="I123" s="6"/>
      <c r="J123" s="3"/>
      <c r="K123" s="3"/>
    </row>
    <row r="124" spans="1:11" ht="80" x14ac:dyDescent="0.2">
      <c r="A124" s="1"/>
      <c r="B124" s="11"/>
      <c r="C124" s="6"/>
      <c r="D124" s="6"/>
      <c r="E124" s="6"/>
      <c r="F124" s="6"/>
      <c r="G124" s="6"/>
      <c r="H124" s="6"/>
      <c r="I124" s="6"/>
      <c r="J124" s="3"/>
      <c r="K124" s="3" t="s">
        <v>185</v>
      </c>
    </row>
    <row r="125" spans="1:11" x14ac:dyDescent="0.2">
      <c r="A125" s="1"/>
      <c r="B125" s="11"/>
      <c r="C125" s="6"/>
      <c r="D125" s="6"/>
      <c r="E125" s="6"/>
      <c r="F125" s="6"/>
      <c r="G125" s="6"/>
      <c r="H125" s="6"/>
      <c r="I125" s="6"/>
      <c r="J125" s="3"/>
      <c r="K125" s="3"/>
    </row>
    <row r="126" spans="1:11" x14ac:dyDescent="0.2">
      <c r="A126" s="1"/>
      <c r="B126" s="11"/>
      <c r="C126" s="6"/>
      <c r="D126" s="6"/>
      <c r="E126" s="6"/>
      <c r="F126" s="6"/>
      <c r="G126" s="6"/>
      <c r="H126" s="6"/>
      <c r="I126" s="6"/>
      <c r="J126" s="3"/>
      <c r="K126" s="3" t="s">
        <v>186</v>
      </c>
    </row>
    <row r="127" spans="1:11" x14ac:dyDescent="0.2">
      <c r="A127" s="1"/>
      <c r="B127" s="11"/>
      <c r="C127" s="6"/>
      <c r="D127" s="6"/>
      <c r="E127" s="6"/>
      <c r="F127" s="6"/>
      <c r="G127" s="6"/>
      <c r="H127" s="6"/>
      <c r="I127" s="6"/>
      <c r="J127" s="3"/>
      <c r="K127" s="3" t="s">
        <v>187</v>
      </c>
    </row>
    <row r="128" spans="1:11" x14ac:dyDescent="0.2">
      <c r="A128" s="1"/>
      <c r="B128" s="11"/>
      <c r="C128" s="6"/>
      <c r="D128" s="6"/>
      <c r="E128" s="6"/>
      <c r="F128" s="6"/>
      <c r="G128" s="6"/>
      <c r="H128" s="6"/>
      <c r="I128" s="6"/>
      <c r="J128" s="3"/>
      <c r="K128" s="3" t="s">
        <v>188</v>
      </c>
    </row>
    <row r="129" spans="1:11" x14ac:dyDescent="0.2">
      <c r="A129" s="1"/>
      <c r="B129" s="11"/>
      <c r="C129" s="6"/>
      <c r="D129" s="6"/>
      <c r="E129" s="6"/>
      <c r="F129" s="6"/>
      <c r="G129" s="6"/>
      <c r="H129" s="6"/>
      <c r="I129" s="6"/>
      <c r="J129" s="3"/>
      <c r="K129" s="3" t="s">
        <v>189</v>
      </c>
    </row>
    <row r="130" spans="1:11" x14ac:dyDescent="0.2">
      <c r="A130" s="1"/>
      <c r="B130" s="11"/>
      <c r="C130" s="6"/>
      <c r="D130" s="6"/>
      <c r="E130" s="6"/>
      <c r="F130" s="6"/>
      <c r="G130" s="6"/>
      <c r="H130" s="6"/>
      <c r="I130" s="6"/>
      <c r="J130" s="3"/>
      <c r="K130" s="3" t="s">
        <v>190</v>
      </c>
    </row>
    <row r="131" spans="1:11" x14ac:dyDescent="0.2">
      <c r="A131" s="1"/>
      <c r="B131" s="11"/>
      <c r="C131" s="6"/>
      <c r="D131" s="6"/>
      <c r="E131" s="6"/>
      <c r="F131" s="6"/>
      <c r="G131" s="6"/>
      <c r="H131" s="6"/>
      <c r="I131" s="6"/>
      <c r="J131" s="3"/>
      <c r="K131" s="3" t="s">
        <v>191</v>
      </c>
    </row>
    <row r="132" spans="1:11" x14ac:dyDescent="0.2">
      <c r="A132" s="1"/>
      <c r="B132" s="11"/>
      <c r="C132" s="6"/>
      <c r="D132" s="6"/>
      <c r="E132" s="6"/>
      <c r="F132" s="6"/>
      <c r="G132" s="6"/>
      <c r="H132" s="6"/>
      <c r="I132" s="6"/>
      <c r="J132" s="3"/>
      <c r="K132" s="3" t="s">
        <v>192</v>
      </c>
    </row>
    <row r="133" spans="1:11" x14ac:dyDescent="0.2">
      <c r="A133" s="1"/>
      <c r="B133" s="11"/>
      <c r="C133" s="6"/>
      <c r="D133" s="6"/>
      <c r="E133" s="6"/>
      <c r="F133" s="6"/>
      <c r="G133" s="6"/>
      <c r="H133" s="6"/>
      <c r="I133" s="6"/>
      <c r="J133" s="3"/>
      <c r="K133" s="3" t="s">
        <v>193</v>
      </c>
    </row>
    <row r="134" spans="1:11" x14ac:dyDescent="0.2">
      <c r="A134" s="1"/>
      <c r="B134" s="11"/>
      <c r="C134" s="6"/>
      <c r="D134" s="6"/>
      <c r="E134" s="6"/>
      <c r="F134" s="6"/>
      <c r="G134" s="6"/>
      <c r="H134" s="6"/>
      <c r="I134" s="6"/>
      <c r="J134" s="3"/>
      <c r="K134" s="3"/>
    </row>
    <row r="135" spans="1:11" ht="120" x14ac:dyDescent="0.2">
      <c r="A135" s="1"/>
      <c r="B135" s="11"/>
      <c r="C135" s="6"/>
      <c r="D135" s="6"/>
      <c r="E135" s="6"/>
      <c r="F135" s="6"/>
      <c r="G135" s="6"/>
      <c r="H135" s="6"/>
      <c r="I135" s="6"/>
      <c r="J135" s="3"/>
      <c r="K135" s="3" t="s">
        <v>194</v>
      </c>
    </row>
    <row r="136" spans="1:11" x14ac:dyDescent="0.2">
      <c r="A136" s="1"/>
      <c r="B136" s="11"/>
      <c r="C136" s="6"/>
      <c r="D136" s="6"/>
      <c r="E136" s="6"/>
      <c r="F136" s="6"/>
      <c r="G136" s="6"/>
      <c r="H136" s="6"/>
      <c r="I136" s="6"/>
      <c r="J136" s="3"/>
      <c r="K136" s="3"/>
    </row>
    <row r="137" spans="1:11" ht="120" x14ac:dyDescent="0.2">
      <c r="A137" s="1"/>
      <c r="B137" s="11"/>
      <c r="C137" s="6"/>
      <c r="D137" s="6"/>
      <c r="E137" s="6"/>
      <c r="F137" s="6"/>
      <c r="G137" s="6"/>
      <c r="H137" s="6"/>
      <c r="I137" s="6"/>
      <c r="J137" s="3"/>
      <c r="K137" s="3" t="s">
        <v>195</v>
      </c>
    </row>
    <row r="138" spans="1:11" ht="280" x14ac:dyDescent="0.2">
      <c r="A138" s="1" t="s">
        <v>26</v>
      </c>
      <c r="B138" s="11" t="s">
        <v>196</v>
      </c>
      <c r="C138" s="6">
        <v>4</v>
      </c>
      <c r="D138" s="6">
        <v>4</v>
      </c>
      <c r="E138" s="6">
        <v>3</v>
      </c>
      <c r="F138" s="6">
        <v>3</v>
      </c>
      <c r="G138" s="6">
        <v>5</v>
      </c>
      <c r="H138" s="6">
        <v>4</v>
      </c>
      <c r="I138" s="6">
        <v>4</v>
      </c>
      <c r="J138" s="3" t="s">
        <v>197</v>
      </c>
      <c r="K138" s="3" t="s">
        <v>198</v>
      </c>
    </row>
    <row r="139" spans="1:11" x14ac:dyDescent="0.2">
      <c r="A139" s="1"/>
      <c r="B139" s="11"/>
      <c r="C139" s="6"/>
      <c r="D139" s="6"/>
      <c r="E139" s="6"/>
      <c r="F139" s="6"/>
      <c r="G139" s="6"/>
      <c r="H139" s="6"/>
      <c r="I139" s="6"/>
      <c r="J139" s="3"/>
      <c r="K139" s="3"/>
    </row>
    <row r="140" spans="1:11" x14ac:dyDescent="0.2">
      <c r="A140" s="1"/>
      <c r="B140" s="11"/>
      <c r="C140" s="6"/>
      <c r="D140" s="6"/>
      <c r="E140" s="6"/>
      <c r="F140" s="6"/>
      <c r="G140" s="6"/>
      <c r="H140" s="6"/>
      <c r="I140" s="6"/>
      <c r="J140" s="3"/>
      <c r="K140" s="3" t="s">
        <v>199</v>
      </c>
    </row>
    <row r="141" spans="1:11" x14ac:dyDescent="0.2">
      <c r="A141" s="1"/>
      <c r="B141" s="11"/>
      <c r="C141" s="6"/>
      <c r="D141" s="6"/>
      <c r="E141" s="6"/>
      <c r="F141" s="6"/>
      <c r="G141" s="6"/>
      <c r="H141" s="6"/>
      <c r="I141" s="6"/>
      <c r="J141" s="3"/>
      <c r="K141" s="3" t="s">
        <v>200</v>
      </c>
    </row>
    <row r="142" spans="1:11" x14ac:dyDescent="0.2">
      <c r="A142" s="1"/>
      <c r="B142" s="11"/>
      <c r="C142" s="6"/>
      <c r="D142" s="6"/>
      <c r="E142" s="6"/>
      <c r="F142" s="6"/>
      <c r="G142" s="6"/>
      <c r="H142" s="6"/>
      <c r="I142" s="6"/>
      <c r="J142" s="3"/>
      <c r="K142" s="3" t="s">
        <v>201</v>
      </c>
    </row>
    <row r="143" spans="1:11" x14ac:dyDescent="0.2">
      <c r="A143" s="1"/>
      <c r="B143" s="11"/>
      <c r="C143" s="6"/>
      <c r="D143" s="6"/>
      <c r="E143" s="6"/>
      <c r="F143" s="6"/>
      <c r="G143" s="6"/>
      <c r="H143" s="6"/>
      <c r="I143" s="6"/>
      <c r="J143" s="3"/>
      <c r="K143" s="3" t="s">
        <v>202</v>
      </c>
    </row>
    <row r="144" spans="1:11" ht="40" x14ac:dyDescent="0.2">
      <c r="A144" s="1"/>
      <c r="B144" s="11"/>
      <c r="C144" s="6"/>
      <c r="D144" s="6"/>
      <c r="E144" s="6"/>
      <c r="F144" s="6"/>
      <c r="G144" s="6"/>
      <c r="H144" s="6"/>
      <c r="I144" s="6"/>
      <c r="J144" s="3"/>
      <c r="K144" s="3" t="s">
        <v>203</v>
      </c>
    </row>
    <row r="145" spans="1:11" x14ac:dyDescent="0.2">
      <c r="A145" s="1"/>
      <c r="B145" s="11"/>
      <c r="C145" s="6"/>
      <c r="D145" s="6"/>
      <c r="E145" s="6"/>
      <c r="F145" s="6"/>
      <c r="G145" s="6"/>
      <c r="H145" s="6"/>
      <c r="I145" s="6"/>
      <c r="J145" s="3"/>
      <c r="K145" s="3" t="s">
        <v>204</v>
      </c>
    </row>
    <row r="146" spans="1:11" x14ac:dyDescent="0.2">
      <c r="A146" s="1"/>
      <c r="B146" s="11"/>
      <c r="C146" s="6"/>
      <c r="D146" s="6"/>
      <c r="E146" s="6"/>
      <c r="F146" s="6"/>
      <c r="G146" s="6"/>
      <c r="H146" s="6"/>
      <c r="I146" s="6"/>
      <c r="J146" s="3"/>
      <c r="K146" s="3" t="s">
        <v>205</v>
      </c>
    </row>
    <row r="147" spans="1:11" x14ac:dyDescent="0.2">
      <c r="A147" s="1"/>
      <c r="B147" s="11"/>
      <c r="C147" s="6"/>
      <c r="D147" s="6"/>
      <c r="E147" s="6"/>
      <c r="F147" s="6"/>
      <c r="G147" s="6"/>
      <c r="H147" s="6"/>
      <c r="I147" s="6"/>
      <c r="J147" s="3"/>
      <c r="K147" s="3" t="s">
        <v>206</v>
      </c>
    </row>
    <row r="148" spans="1:11" x14ac:dyDescent="0.2">
      <c r="A148" s="1"/>
      <c r="B148" s="11"/>
      <c r="C148" s="6"/>
      <c r="D148" s="6"/>
      <c r="E148" s="6"/>
      <c r="F148" s="6"/>
      <c r="G148" s="6"/>
      <c r="H148" s="6"/>
      <c r="I148" s="6"/>
      <c r="J148" s="3"/>
      <c r="K148" s="3"/>
    </row>
    <row r="149" spans="1:11" ht="40" x14ac:dyDescent="0.2">
      <c r="A149" s="1"/>
      <c r="B149" s="11"/>
      <c r="C149" s="6"/>
      <c r="D149" s="6"/>
      <c r="E149" s="6"/>
      <c r="F149" s="6"/>
      <c r="G149" s="6"/>
      <c r="H149" s="6"/>
      <c r="I149" s="6"/>
      <c r="J149" s="3"/>
      <c r="K149" s="3" t="s">
        <v>207</v>
      </c>
    </row>
    <row r="150" spans="1:11" x14ac:dyDescent="0.2">
      <c r="A150" s="1"/>
      <c r="B150" s="11"/>
      <c r="C150" s="6"/>
      <c r="D150" s="6"/>
      <c r="E150" s="6"/>
      <c r="F150" s="6"/>
      <c r="G150" s="6"/>
      <c r="H150" s="6"/>
      <c r="I150" s="6"/>
      <c r="J150" s="3"/>
      <c r="K150" s="3"/>
    </row>
    <row r="151" spans="1:11" x14ac:dyDescent="0.2">
      <c r="A151" s="1"/>
      <c r="B151" s="11"/>
      <c r="C151" s="6"/>
      <c r="D151" s="6"/>
      <c r="E151" s="6"/>
      <c r="F151" s="6"/>
      <c r="G151" s="6"/>
      <c r="H151" s="6"/>
      <c r="I151" s="6"/>
      <c r="J151" s="3"/>
      <c r="K151" s="3" t="s">
        <v>208</v>
      </c>
    </row>
    <row r="152" spans="1:11" ht="100" x14ac:dyDescent="0.2">
      <c r="A152" s="1"/>
      <c r="B152" s="11"/>
      <c r="C152" s="6"/>
      <c r="D152" s="6"/>
      <c r="E152" s="6"/>
      <c r="F152" s="6"/>
      <c r="G152" s="6"/>
      <c r="H152" s="6"/>
      <c r="I152" s="6"/>
      <c r="J152" s="3"/>
      <c r="K152" s="3" t="s">
        <v>209</v>
      </c>
    </row>
    <row r="153" spans="1:11" x14ac:dyDescent="0.2">
      <c r="A153" s="1"/>
      <c r="B153" s="11"/>
      <c r="C153" s="6"/>
      <c r="D153" s="6"/>
      <c r="E153" s="6"/>
      <c r="F153" s="6"/>
      <c r="G153" s="6"/>
      <c r="H153" s="6"/>
      <c r="I153" s="6"/>
      <c r="J153" s="3"/>
      <c r="K153"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F20F-F0A2-0F48-A4F4-FAC5A1B9AF36}">
  <sheetPr>
    <tabColor rgb="FFC00000"/>
  </sheetPr>
  <dimension ref="A1:I42"/>
  <sheetViews>
    <sheetView workbookViewId="0">
      <selection activeCell="B12" sqref="B12"/>
    </sheetView>
  </sheetViews>
  <sheetFormatPr baseColWidth="10" defaultRowHeight="16" x14ac:dyDescent="0.2"/>
  <cols>
    <col min="1" max="1" width="34.33203125" customWidth="1"/>
    <col min="2" max="2" width="44.6640625" customWidth="1"/>
    <col min="3" max="3" width="19.33203125" style="49" bestFit="1" customWidth="1"/>
    <col min="4" max="9" width="19.1640625" style="49" bestFit="1" customWidth="1"/>
  </cols>
  <sheetData>
    <row r="1" spans="1:9" ht="134" customHeight="1" x14ac:dyDescent="0.2">
      <c r="A1" s="1" t="s">
        <v>0</v>
      </c>
      <c r="B1" s="1" t="s">
        <v>1</v>
      </c>
      <c r="C1" s="44" t="s">
        <v>2</v>
      </c>
      <c r="D1" s="45" t="s">
        <v>3</v>
      </c>
      <c r="E1" s="45" t="s">
        <v>4</v>
      </c>
      <c r="F1" s="45" t="s">
        <v>5</v>
      </c>
      <c r="G1" s="46" t="s">
        <v>6</v>
      </c>
      <c r="H1" s="46" t="s">
        <v>7</v>
      </c>
      <c r="I1" s="46" t="s">
        <v>8</v>
      </c>
    </row>
    <row r="2" spans="1:9" ht="34" x14ac:dyDescent="0.2">
      <c r="A2" s="1" t="s">
        <v>18</v>
      </c>
      <c r="B2" s="1" t="s">
        <v>19</v>
      </c>
      <c r="C2" s="47">
        <v>4</v>
      </c>
      <c r="D2" s="47">
        <v>4</v>
      </c>
      <c r="E2" s="47">
        <v>1</v>
      </c>
      <c r="F2" s="47">
        <v>3</v>
      </c>
      <c r="G2" s="47">
        <v>3</v>
      </c>
      <c r="H2" s="47">
        <v>4</v>
      </c>
      <c r="I2" s="47">
        <v>2</v>
      </c>
    </row>
    <row r="3" spans="1:9" ht="34" x14ac:dyDescent="0.2">
      <c r="A3" s="1" t="s">
        <v>22</v>
      </c>
      <c r="B3" s="1" t="s">
        <v>23</v>
      </c>
      <c r="C3" s="47">
        <v>4</v>
      </c>
      <c r="D3" s="47">
        <v>5</v>
      </c>
      <c r="E3" s="47">
        <v>5</v>
      </c>
      <c r="F3" s="47">
        <v>4</v>
      </c>
      <c r="G3" s="47">
        <v>5</v>
      </c>
      <c r="H3" s="47">
        <v>5</v>
      </c>
      <c r="I3" s="47">
        <v>5</v>
      </c>
    </row>
    <row r="4" spans="1:9" ht="34" x14ac:dyDescent="0.2">
      <c r="A4" s="1" t="s">
        <v>26</v>
      </c>
      <c r="B4" s="1" t="s">
        <v>27</v>
      </c>
      <c r="C4" s="47">
        <v>4</v>
      </c>
      <c r="D4" s="47">
        <v>4</v>
      </c>
      <c r="E4" s="47">
        <v>2</v>
      </c>
      <c r="F4" s="47">
        <v>2</v>
      </c>
      <c r="G4" s="47">
        <v>5</v>
      </c>
      <c r="H4" s="47">
        <v>4</v>
      </c>
      <c r="I4" s="47">
        <v>4</v>
      </c>
    </row>
    <row r="5" spans="1:9" ht="34" x14ac:dyDescent="0.2">
      <c r="A5" s="1" t="s">
        <v>32</v>
      </c>
      <c r="B5" s="1" t="s">
        <v>33</v>
      </c>
      <c r="C5" s="47">
        <v>4</v>
      </c>
      <c r="D5" s="47">
        <v>4</v>
      </c>
      <c r="E5" s="47">
        <v>2</v>
      </c>
      <c r="F5" s="47">
        <v>2</v>
      </c>
      <c r="G5" s="47">
        <v>5</v>
      </c>
      <c r="H5" s="47">
        <v>3</v>
      </c>
      <c r="I5" s="47">
        <v>5</v>
      </c>
    </row>
    <row r="6" spans="1:9" ht="34" x14ac:dyDescent="0.2">
      <c r="A6" s="1" t="s">
        <v>36</v>
      </c>
      <c r="B6" s="1" t="s">
        <v>37</v>
      </c>
      <c r="C6" s="47">
        <v>4</v>
      </c>
      <c r="D6" s="47">
        <v>3</v>
      </c>
      <c r="E6" s="47">
        <v>3</v>
      </c>
      <c r="F6" s="47">
        <v>2</v>
      </c>
      <c r="G6" s="47">
        <v>5</v>
      </c>
      <c r="H6" s="47">
        <v>5</v>
      </c>
      <c r="I6" s="47">
        <v>5</v>
      </c>
    </row>
    <row r="7" spans="1:9" ht="34" x14ac:dyDescent="0.2">
      <c r="A7" s="1" t="s">
        <v>40</v>
      </c>
      <c r="B7" s="1" t="s">
        <v>19</v>
      </c>
      <c r="C7" s="47">
        <v>4</v>
      </c>
      <c r="D7" s="47">
        <v>4</v>
      </c>
      <c r="E7" s="47">
        <v>3</v>
      </c>
      <c r="F7" s="47">
        <v>2</v>
      </c>
      <c r="G7" s="47">
        <v>5</v>
      </c>
      <c r="H7" s="47">
        <v>5</v>
      </c>
      <c r="I7" s="47">
        <v>4</v>
      </c>
    </row>
    <row r="8" spans="1:9" ht="34" x14ac:dyDescent="0.2">
      <c r="A8" s="1" t="s">
        <v>30</v>
      </c>
      <c r="B8" s="1" t="s">
        <v>37</v>
      </c>
      <c r="C8" s="47">
        <v>4</v>
      </c>
      <c r="D8" s="47">
        <v>4</v>
      </c>
      <c r="E8" s="47">
        <v>2</v>
      </c>
      <c r="F8" s="47">
        <v>2</v>
      </c>
      <c r="G8" s="47">
        <v>5</v>
      </c>
      <c r="H8" s="47">
        <v>5</v>
      </c>
      <c r="I8" s="47">
        <v>5</v>
      </c>
    </row>
    <row r="9" spans="1:9" ht="34" x14ac:dyDescent="0.2">
      <c r="A9" s="1" t="s">
        <v>45</v>
      </c>
      <c r="B9" s="1" t="s">
        <v>46</v>
      </c>
      <c r="C9" s="47">
        <v>5</v>
      </c>
      <c r="D9" s="47">
        <v>3</v>
      </c>
      <c r="E9" s="47">
        <v>2</v>
      </c>
      <c r="F9" s="47">
        <v>2</v>
      </c>
      <c r="G9" s="47">
        <v>2</v>
      </c>
      <c r="H9" s="47">
        <v>2</v>
      </c>
      <c r="I9" s="47">
        <v>2</v>
      </c>
    </row>
    <row r="10" spans="1:9" ht="34" x14ac:dyDescent="0.2">
      <c r="A10" s="1" t="s">
        <v>49</v>
      </c>
      <c r="B10" s="1" t="s">
        <v>50</v>
      </c>
      <c r="C10" s="47">
        <v>4</v>
      </c>
      <c r="D10" s="47">
        <v>4</v>
      </c>
      <c r="E10" s="47">
        <v>5</v>
      </c>
      <c r="F10" s="47">
        <v>2</v>
      </c>
      <c r="G10" s="47">
        <v>5</v>
      </c>
      <c r="H10" s="47">
        <v>5</v>
      </c>
      <c r="I10" s="47">
        <v>5</v>
      </c>
    </row>
    <row r="11" spans="1:9" ht="34" x14ac:dyDescent="0.2">
      <c r="A11" s="1" t="s">
        <v>53</v>
      </c>
      <c r="B11" s="1" t="s">
        <v>54</v>
      </c>
      <c r="C11" s="47">
        <v>5</v>
      </c>
      <c r="D11" s="47">
        <v>4</v>
      </c>
      <c r="E11" s="47">
        <v>4</v>
      </c>
      <c r="F11" s="47">
        <v>2</v>
      </c>
      <c r="G11" s="47">
        <v>4</v>
      </c>
      <c r="H11" s="47">
        <v>5</v>
      </c>
      <c r="I11" s="47">
        <v>3</v>
      </c>
    </row>
    <row r="12" spans="1:9" ht="34" x14ac:dyDescent="0.2">
      <c r="A12" s="1" t="s">
        <v>57</v>
      </c>
      <c r="B12" s="1" t="s">
        <v>54</v>
      </c>
      <c r="C12" s="47">
        <v>4</v>
      </c>
      <c r="D12" s="47">
        <v>5</v>
      </c>
      <c r="E12" s="47">
        <v>4</v>
      </c>
      <c r="F12" s="47">
        <v>2</v>
      </c>
      <c r="G12" s="47">
        <v>5</v>
      </c>
      <c r="H12" s="47">
        <v>4</v>
      </c>
      <c r="I12" s="47">
        <v>4</v>
      </c>
    </row>
    <row r="13" spans="1:9" ht="34" x14ac:dyDescent="0.2">
      <c r="A13" s="1" t="s">
        <v>60</v>
      </c>
      <c r="B13" s="1" t="s">
        <v>61</v>
      </c>
      <c r="C13" s="47">
        <v>5</v>
      </c>
      <c r="D13" s="47">
        <v>4</v>
      </c>
      <c r="E13" s="47">
        <v>2</v>
      </c>
      <c r="F13" s="47">
        <v>2</v>
      </c>
      <c r="G13" s="47">
        <v>5</v>
      </c>
      <c r="H13" s="47">
        <v>5</v>
      </c>
      <c r="I13" s="47">
        <v>5</v>
      </c>
    </row>
    <row r="14" spans="1:9" ht="34" x14ac:dyDescent="0.2">
      <c r="A14" s="1" t="s">
        <v>69</v>
      </c>
      <c r="B14" s="1" t="s">
        <v>23</v>
      </c>
      <c r="C14" s="47">
        <v>4</v>
      </c>
      <c r="D14" s="47">
        <v>5</v>
      </c>
      <c r="E14" s="47">
        <v>4</v>
      </c>
      <c r="F14" s="47">
        <v>3</v>
      </c>
      <c r="G14" s="47">
        <v>5</v>
      </c>
      <c r="H14" s="47">
        <v>5</v>
      </c>
      <c r="I14" s="47">
        <v>4</v>
      </c>
    </row>
    <row r="15" spans="1:9" ht="34" x14ac:dyDescent="0.2">
      <c r="A15" s="1" t="s">
        <v>72</v>
      </c>
      <c r="B15" s="1" t="s">
        <v>54</v>
      </c>
      <c r="C15" s="47">
        <v>4</v>
      </c>
      <c r="D15" s="47">
        <v>5</v>
      </c>
      <c r="E15" s="47">
        <v>5</v>
      </c>
      <c r="F15" s="47">
        <v>2</v>
      </c>
      <c r="G15" s="47">
        <v>5</v>
      </c>
      <c r="H15" s="47">
        <v>5</v>
      </c>
      <c r="I15" s="47">
        <v>5</v>
      </c>
    </row>
    <row r="16" spans="1:9" ht="34" x14ac:dyDescent="0.2">
      <c r="A16" s="1" t="s">
        <v>75</v>
      </c>
      <c r="B16" s="1" t="s">
        <v>27</v>
      </c>
      <c r="C16" s="47">
        <v>4</v>
      </c>
      <c r="D16" s="47">
        <v>4</v>
      </c>
      <c r="E16" s="47">
        <v>3</v>
      </c>
      <c r="F16" s="47">
        <v>3</v>
      </c>
      <c r="G16" s="47">
        <v>5</v>
      </c>
      <c r="H16" s="47">
        <v>4</v>
      </c>
      <c r="I16" s="47">
        <v>4</v>
      </c>
    </row>
    <row r="17" spans="1:9" ht="34" x14ac:dyDescent="0.2">
      <c r="A17" s="1" t="s">
        <v>96</v>
      </c>
      <c r="B17" s="1" t="s">
        <v>97</v>
      </c>
      <c r="C17" s="47">
        <v>4</v>
      </c>
      <c r="D17" s="47">
        <v>5</v>
      </c>
      <c r="E17" s="47">
        <v>4</v>
      </c>
      <c r="F17" s="47">
        <v>2</v>
      </c>
      <c r="G17" s="47">
        <v>5</v>
      </c>
      <c r="H17" s="47">
        <v>5</v>
      </c>
      <c r="I17" s="47">
        <v>5</v>
      </c>
    </row>
    <row r="18" spans="1:9" ht="34" x14ac:dyDescent="0.2">
      <c r="A18" s="1" t="s">
        <v>113</v>
      </c>
      <c r="B18" s="1" t="s">
        <v>37</v>
      </c>
      <c r="C18" s="47">
        <v>5</v>
      </c>
      <c r="D18" s="47">
        <v>3</v>
      </c>
      <c r="E18" s="47">
        <v>5</v>
      </c>
      <c r="F18" s="47">
        <v>2</v>
      </c>
      <c r="G18" s="47">
        <v>5</v>
      </c>
      <c r="H18" s="47">
        <v>5</v>
      </c>
      <c r="I18" s="47">
        <v>5</v>
      </c>
    </row>
    <row r="19" spans="1:9" ht="34" x14ac:dyDescent="0.2">
      <c r="A19" s="1" t="s">
        <v>122</v>
      </c>
      <c r="B19" s="1" t="s">
        <v>123</v>
      </c>
      <c r="C19" s="47">
        <v>5</v>
      </c>
      <c r="D19" s="47">
        <v>4</v>
      </c>
      <c r="E19" s="47">
        <v>5</v>
      </c>
      <c r="F19" s="47">
        <v>3</v>
      </c>
      <c r="G19" s="47">
        <v>5</v>
      </c>
      <c r="H19" s="47">
        <v>5</v>
      </c>
      <c r="I19" s="47">
        <v>5</v>
      </c>
    </row>
    <row r="20" spans="1:9" ht="34" x14ac:dyDescent="0.2">
      <c r="A20" s="1" t="s">
        <v>128</v>
      </c>
      <c r="B20" s="1" t="s">
        <v>27</v>
      </c>
      <c r="C20" s="47">
        <v>4</v>
      </c>
      <c r="D20" s="47">
        <v>5</v>
      </c>
      <c r="E20" s="47">
        <v>3</v>
      </c>
      <c r="F20" s="47">
        <v>3</v>
      </c>
      <c r="G20" s="47">
        <v>4</v>
      </c>
      <c r="H20" s="47">
        <v>4</v>
      </c>
      <c r="I20" s="47">
        <v>3</v>
      </c>
    </row>
    <row r="21" spans="1:9" ht="34" x14ac:dyDescent="0.2">
      <c r="A21" s="1" t="s">
        <v>137</v>
      </c>
      <c r="B21" s="1" t="s">
        <v>61</v>
      </c>
      <c r="C21" s="47">
        <v>4</v>
      </c>
      <c r="D21" s="47">
        <v>4</v>
      </c>
      <c r="E21" s="47">
        <v>4</v>
      </c>
      <c r="F21" s="47">
        <v>2</v>
      </c>
      <c r="G21" s="47">
        <v>5</v>
      </c>
      <c r="H21" s="47">
        <v>5</v>
      </c>
      <c r="I21" s="47">
        <v>5</v>
      </c>
    </row>
    <row r="22" spans="1:9" ht="34" x14ac:dyDescent="0.2">
      <c r="A22" s="1" t="s">
        <v>149</v>
      </c>
      <c r="B22" s="1" t="s">
        <v>123</v>
      </c>
      <c r="C22" s="47">
        <v>4</v>
      </c>
      <c r="D22" s="47">
        <v>4</v>
      </c>
      <c r="E22" s="47">
        <v>3</v>
      </c>
      <c r="F22" s="47">
        <v>2</v>
      </c>
      <c r="G22" s="47">
        <v>5</v>
      </c>
      <c r="H22" s="47">
        <v>5</v>
      </c>
      <c r="I22" s="47">
        <v>5</v>
      </c>
    </row>
    <row r="23" spans="1:9" ht="34" x14ac:dyDescent="0.2">
      <c r="A23" s="1" t="s">
        <v>113</v>
      </c>
      <c r="B23" s="1" t="s">
        <v>97</v>
      </c>
      <c r="C23" s="47">
        <v>4</v>
      </c>
      <c r="D23" s="47">
        <v>5</v>
      </c>
      <c r="E23" s="47">
        <v>4</v>
      </c>
      <c r="F23" s="47">
        <v>3</v>
      </c>
      <c r="G23" s="47">
        <v>5</v>
      </c>
      <c r="H23" s="47">
        <v>5</v>
      </c>
      <c r="I23" s="47">
        <v>4</v>
      </c>
    </row>
    <row r="24" spans="1:9" ht="34" x14ac:dyDescent="0.2">
      <c r="A24" s="1" t="s">
        <v>60</v>
      </c>
      <c r="B24" s="1" t="s">
        <v>168</v>
      </c>
      <c r="C24" s="47">
        <v>4</v>
      </c>
      <c r="D24" s="47">
        <v>2</v>
      </c>
      <c r="E24" s="47">
        <v>1</v>
      </c>
      <c r="F24" s="47">
        <v>1</v>
      </c>
      <c r="G24" s="47">
        <v>5</v>
      </c>
      <c r="H24" s="47">
        <v>4</v>
      </c>
      <c r="I24" s="47">
        <v>5</v>
      </c>
    </row>
    <row r="25" spans="1:9" ht="34" x14ac:dyDescent="0.2">
      <c r="A25" s="1" t="s">
        <v>171</v>
      </c>
      <c r="B25" s="1" t="s">
        <v>23</v>
      </c>
      <c r="C25" s="47">
        <v>4</v>
      </c>
      <c r="D25" s="47">
        <v>5</v>
      </c>
      <c r="E25" s="47">
        <v>4</v>
      </c>
      <c r="F25" s="47">
        <v>3</v>
      </c>
      <c r="G25" s="47">
        <v>5</v>
      </c>
      <c r="H25" s="47">
        <v>5</v>
      </c>
      <c r="I25" s="47">
        <v>4</v>
      </c>
    </row>
    <row r="26" spans="1:9" ht="34" x14ac:dyDescent="0.2">
      <c r="A26" s="1" t="s">
        <v>182</v>
      </c>
      <c r="B26" s="1" t="s">
        <v>23</v>
      </c>
      <c r="C26" s="47">
        <v>4</v>
      </c>
      <c r="D26" s="47">
        <v>5</v>
      </c>
      <c r="E26" s="47">
        <v>5</v>
      </c>
      <c r="F26" s="47">
        <v>2</v>
      </c>
      <c r="G26" s="47">
        <v>5</v>
      </c>
      <c r="H26" s="47">
        <v>5</v>
      </c>
      <c r="I26" s="47">
        <v>4</v>
      </c>
    </row>
    <row r="27" spans="1:9" ht="34" x14ac:dyDescent="0.2">
      <c r="A27" s="1" t="s">
        <v>26</v>
      </c>
      <c r="B27" s="1" t="s">
        <v>196</v>
      </c>
      <c r="C27" s="47">
        <v>4</v>
      </c>
      <c r="D27" s="47">
        <v>4</v>
      </c>
      <c r="E27" s="47">
        <v>3</v>
      </c>
      <c r="F27" s="47">
        <v>3</v>
      </c>
      <c r="G27" s="47">
        <v>5</v>
      </c>
      <c r="H27" s="47">
        <v>4</v>
      </c>
      <c r="I27" s="47">
        <v>4</v>
      </c>
    </row>
    <row r="28" spans="1:9" x14ac:dyDescent="0.2">
      <c r="A28" s="1"/>
      <c r="B28" s="1"/>
      <c r="C28" s="48">
        <f>AVERAGE(Table9[empathy_opt_score])</f>
        <v>4.1923076923076925</v>
      </c>
      <c r="D28" s="48">
        <f>AVERAGE(Table9[nonopt_R_score])</f>
        <v>4.1538461538461542</v>
      </c>
      <c r="E28" s="48">
        <f>AVERAGE(Table9[nonopt_F_score])</f>
        <v>3.3846153846153846</v>
      </c>
      <c r="F28" s="48">
        <f>AVERAGE(Table9[nonopt_H_score])</f>
        <v>2.3461538461538463</v>
      </c>
      <c r="G28" s="48">
        <f>AVERAGE(Table9[opt_R_score])</f>
        <v>4.7307692307692308</v>
      </c>
      <c r="H28" s="48">
        <f>AVERAGE(Table9[opt_F_score])</f>
        <v>4.5384615384615383</v>
      </c>
      <c r="I28" s="48">
        <f>AVERAGE(Table9[opt_H_score])</f>
        <v>4.2692307692307692</v>
      </c>
    </row>
    <row r="29" spans="1:9" x14ac:dyDescent="0.2">
      <c r="A29" s="1"/>
      <c r="B29" s="1"/>
      <c r="C29" s="47"/>
      <c r="D29" s="47"/>
      <c r="E29" s="47"/>
      <c r="F29" s="47"/>
      <c r="G29" s="47"/>
      <c r="H29" s="47"/>
      <c r="I29" s="47"/>
    </row>
    <row r="30" spans="1:9" x14ac:dyDescent="0.2">
      <c r="A30" s="1"/>
      <c r="B30" s="1"/>
      <c r="C30" s="47"/>
      <c r="D30" s="47"/>
      <c r="E30" s="47"/>
      <c r="F30" s="47"/>
      <c r="G30" s="47"/>
      <c r="H30" s="47"/>
      <c r="I30" s="47"/>
    </row>
    <row r="31" spans="1:9" x14ac:dyDescent="0.2">
      <c r="A31" s="1"/>
      <c r="B31" s="1"/>
      <c r="C31" s="47"/>
      <c r="D31" s="47"/>
      <c r="E31" s="47"/>
      <c r="F31" s="47"/>
      <c r="G31" s="47"/>
      <c r="H31" s="47"/>
      <c r="I31" s="47"/>
    </row>
    <row r="32" spans="1:9" x14ac:dyDescent="0.2">
      <c r="A32" s="1"/>
      <c r="B32" s="1"/>
      <c r="C32" s="47"/>
      <c r="D32" s="47"/>
      <c r="E32" s="47"/>
      <c r="F32" s="47"/>
      <c r="G32" s="47"/>
      <c r="H32" s="47"/>
      <c r="I32" s="47"/>
    </row>
    <row r="33" spans="1:9" x14ac:dyDescent="0.2">
      <c r="A33" s="1"/>
      <c r="B33" s="1"/>
      <c r="C33" s="47"/>
      <c r="D33" s="47"/>
      <c r="E33" s="47"/>
      <c r="F33" s="47"/>
      <c r="G33" s="47"/>
      <c r="H33" s="47"/>
      <c r="I33" s="47"/>
    </row>
    <row r="34" spans="1:9" x14ac:dyDescent="0.2">
      <c r="A34" s="1"/>
      <c r="B34" s="1"/>
      <c r="C34" s="47"/>
      <c r="D34" s="47"/>
      <c r="E34" s="47"/>
      <c r="F34" s="47"/>
      <c r="G34" s="47"/>
      <c r="H34" s="47"/>
      <c r="I34" s="47"/>
    </row>
    <row r="35" spans="1:9" x14ac:dyDescent="0.2">
      <c r="A35" s="1"/>
      <c r="B35" s="1"/>
      <c r="C35" s="47"/>
      <c r="D35" s="47"/>
      <c r="E35" s="47"/>
      <c r="F35" s="47"/>
      <c r="G35" s="47"/>
      <c r="H35" s="47"/>
      <c r="I35" s="47"/>
    </row>
    <row r="36" spans="1:9" x14ac:dyDescent="0.2">
      <c r="A36" s="1"/>
      <c r="B36" s="1"/>
      <c r="C36" s="47"/>
      <c r="D36" s="47"/>
      <c r="E36" s="47"/>
      <c r="F36" s="47"/>
      <c r="G36" s="47"/>
      <c r="H36" s="47"/>
      <c r="I36" s="47"/>
    </row>
    <row r="37" spans="1:9" x14ac:dyDescent="0.2">
      <c r="A37" s="1"/>
      <c r="B37" s="1"/>
      <c r="C37" s="47"/>
      <c r="D37" s="47"/>
      <c r="E37" s="47"/>
      <c r="F37" s="47"/>
      <c r="G37" s="47"/>
      <c r="H37" s="47"/>
      <c r="I37" s="47"/>
    </row>
    <row r="38" spans="1:9" x14ac:dyDescent="0.2">
      <c r="A38" s="1"/>
      <c r="B38" s="1"/>
      <c r="C38" s="47"/>
      <c r="D38" s="47"/>
      <c r="E38" s="47"/>
      <c r="F38" s="47"/>
      <c r="G38" s="47"/>
      <c r="H38" s="47"/>
      <c r="I38" s="47"/>
    </row>
    <row r="39" spans="1:9" x14ac:dyDescent="0.2">
      <c r="A39" s="1"/>
      <c r="B39" s="1"/>
      <c r="C39" s="47"/>
      <c r="D39" s="47"/>
      <c r="E39" s="47"/>
      <c r="F39" s="47"/>
      <c r="G39" s="47"/>
      <c r="H39" s="47"/>
      <c r="I39" s="47"/>
    </row>
    <row r="40" spans="1:9" x14ac:dyDescent="0.2">
      <c r="A40" s="1"/>
      <c r="B40" s="1"/>
      <c r="C40" s="47"/>
      <c r="D40" s="47"/>
      <c r="E40" s="47"/>
      <c r="F40" s="47"/>
      <c r="G40" s="47"/>
      <c r="H40" s="47"/>
      <c r="I40" s="47"/>
    </row>
    <row r="41" spans="1:9" x14ac:dyDescent="0.2">
      <c r="A41" s="1"/>
      <c r="B41" s="1"/>
      <c r="C41" s="47"/>
      <c r="D41" s="47"/>
      <c r="E41" s="47"/>
      <c r="F41" s="47"/>
      <c r="G41" s="47"/>
      <c r="H41" s="47"/>
      <c r="I41" s="47"/>
    </row>
    <row r="42" spans="1:9" x14ac:dyDescent="0.2">
      <c r="A42" s="1"/>
      <c r="B42" s="1"/>
      <c r="C42" s="47"/>
      <c r="D42" s="47"/>
      <c r="E42" s="47"/>
      <c r="F42" s="47"/>
      <c r="G42" s="47"/>
      <c r="H42" s="47"/>
      <c r="I42" s="4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1EE9-9504-9845-A42E-1A22030E790D}">
  <dimension ref="C1:E19"/>
  <sheetViews>
    <sheetView tabSelected="1" workbookViewId="0">
      <selection activeCell="C9" sqref="C9"/>
    </sheetView>
  </sheetViews>
  <sheetFormatPr baseColWidth="10" defaultRowHeight="16" x14ac:dyDescent="0.2"/>
  <cols>
    <col min="3" max="3" width="49.1640625" customWidth="1"/>
    <col min="4" max="4" width="37.5" bestFit="1" customWidth="1"/>
    <col min="5" max="5" width="30.5" bestFit="1" customWidth="1"/>
  </cols>
  <sheetData>
    <row r="1" spans="3:5" ht="42" customHeight="1" thickBot="1" x14ac:dyDescent="0.45">
      <c r="C1" s="27" t="s">
        <v>210</v>
      </c>
      <c r="D1" s="28" t="s">
        <v>211</v>
      </c>
    </row>
    <row r="2" spans="3:5" ht="29" thickTop="1" thickBot="1" x14ac:dyDescent="0.25">
      <c r="C2" s="29" t="s">
        <v>221</v>
      </c>
      <c r="D2" s="30">
        <v>1.83</v>
      </c>
    </row>
    <row r="3" spans="3:5" ht="29" thickTop="1" thickBot="1" x14ac:dyDescent="0.25">
      <c r="C3" s="29" t="s">
        <v>222</v>
      </c>
      <c r="D3" s="30">
        <f>AVERAGE(Table9[empathy_opt_score])</f>
        <v>4.1923076923076925</v>
      </c>
    </row>
    <row r="4" spans="3:5" ht="29" thickTop="1" thickBot="1" x14ac:dyDescent="0.25">
      <c r="C4" s="31" t="s">
        <v>3</v>
      </c>
      <c r="D4" s="30">
        <f>AVERAGE(Table9[nonopt_R_score])</f>
        <v>4.1538461538461542</v>
      </c>
    </row>
    <row r="5" spans="3:5" ht="29" thickTop="1" thickBot="1" x14ac:dyDescent="0.25">
      <c r="C5" s="31" t="s">
        <v>4</v>
      </c>
      <c r="D5" s="30">
        <f>AVERAGE(Table9[nonopt_F_score])</f>
        <v>3.3846153846153846</v>
      </c>
    </row>
    <row r="6" spans="3:5" ht="29" thickTop="1" thickBot="1" x14ac:dyDescent="0.25">
      <c r="C6" s="31" t="s">
        <v>5</v>
      </c>
      <c r="D6" s="30">
        <f>AVERAGE(Table9[nonopt_H_score])</f>
        <v>2.3461538461538463</v>
      </c>
    </row>
    <row r="7" spans="3:5" ht="29" thickTop="1" thickBot="1" x14ac:dyDescent="0.25">
      <c r="C7" s="32" t="s">
        <v>6</v>
      </c>
      <c r="D7" s="30">
        <f>AVERAGE(Table9[opt_R_score])</f>
        <v>4.7307692307692308</v>
      </c>
    </row>
    <row r="8" spans="3:5" ht="29" thickTop="1" thickBot="1" x14ac:dyDescent="0.25">
      <c r="C8" s="32" t="s">
        <v>7</v>
      </c>
      <c r="D8" s="30">
        <f>AVERAGE(Table9[opt_F_score])</f>
        <v>4.5384615384615383</v>
      </c>
    </row>
    <row r="9" spans="3:5" ht="29" thickTop="1" thickBot="1" x14ac:dyDescent="0.25">
      <c r="C9" s="33" t="s">
        <v>8</v>
      </c>
      <c r="D9" s="34">
        <f>AVERAGE(Table9[opt_H_score])</f>
        <v>4.2692307692307692</v>
      </c>
    </row>
    <row r="14" spans="3:5" ht="17" thickBot="1" x14ac:dyDescent="0.25"/>
    <row r="15" spans="3:5" ht="26" x14ac:dyDescent="0.3">
      <c r="C15" s="58" t="s">
        <v>225</v>
      </c>
      <c r="D15" s="59" t="s">
        <v>228</v>
      </c>
      <c r="E15" s="60" t="s">
        <v>229</v>
      </c>
    </row>
    <row r="16" spans="3:5" ht="26" x14ac:dyDescent="0.3">
      <c r="C16" s="61" t="s">
        <v>223</v>
      </c>
      <c r="D16" s="62">
        <f>D2</f>
        <v>1.83</v>
      </c>
      <c r="E16" s="63">
        <f>D3</f>
        <v>4.1923076923076925</v>
      </c>
    </row>
    <row r="17" spans="3:5" ht="26" x14ac:dyDescent="0.3">
      <c r="C17" s="61" t="s">
        <v>224</v>
      </c>
      <c r="D17" s="62">
        <f>D4</f>
        <v>4.1538461538461542</v>
      </c>
      <c r="E17" s="63">
        <f>D7</f>
        <v>4.7307692307692308</v>
      </c>
    </row>
    <row r="18" spans="3:5" ht="26" x14ac:dyDescent="0.3">
      <c r="C18" s="61" t="s">
        <v>226</v>
      </c>
      <c r="D18" s="62">
        <f>D5</f>
        <v>3.3846153846153846</v>
      </c>
      <c r="E18" s="63">
        <f>D8</f>
        <v>4.5384615384615383</v>
      </c>
    </row>
    <row r="19" spans="3:5" ht="27" thickBot="1" x14ac:dyDescent="0.35">
      <c r="C19" s="64" t="s">
        <v>227</v>
      </c>
      <c r="D19" s="65">
        <f>D6</f>
        <v>2.3461538461538463</v>
      </c>
      <c r="E19" s="66">
        <f>D9</f>
        <v>4.2692307692307692</v>
      </c>
    </row>
  </sheetData>
  <phoneticPr fontId="2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34696-70CF-8C4D-8BEA-35A0314B8DBB}">
  <sheetPr>
    <tabColor rgb="FFFFFF00"/>
  </sheetPr>
  <dimension ref="A1:J152"/>
  <sheetViews>
    <sheetView workbookViewId="0">
      <selection activeCell="L2" sqref="L2"/>
    </sheetView>
  </sheetViews>
  <sheetFormatPr baseColWidth="10" defaultRowHeight="37" x14ac:dyDescent="0.45"/>
  <cols>
    <col min="1" max="1" width="11.83203125" customWidth="1"/>
    <col min="2" max="2" width="30" style="12" customWidth="1"/>
    <col min="3" max="3" width="40.6640625" style="36" customWidth="1"/>
    <col min="4" max="4" width="7" style="23" bestFit="1" customWidth="1"/>
    <col min="5" max="5" width="6.5" style="23" bestFit="1" customWidth="1"/>
    <col min="6" max="6" width="7.33203125" style="23" bestFit="1" customWidth="1"/>
    <col min="7" max="7" width="56.33203125" style="36" customWidth="1"/>
    <col min="8" max="8" width="7" style="23" bestFit="1" customWidth="1"/>
    <col min="9" max="9" width="6.5" style="23" bestFit="1" customWidth="1"/>
    <col min="10" max="10" width="7.33203125" style="23" bestFit="1" customWidth="1"/>
  </cols>
  <sheetData>
    <row r="1" spans="1:10" ht="188" customHeight="1" x14ac:dyDescent="0.2">
      <c r="A1" s="1" t="s">
        <v>0</v>
      </c>
      <c r="B1" s="11" t="s">
        <v>1</v>
      </c>
      <c r="C1" s="35" t="s">
        <v>9</v>
      </c>
      <c r="D1" s="14" t="s">
        <v>212</v>
      </c>
      <c r="E1" s="15" t="s">
        <v>213</v>
      </c>
      <c r="F1" s="16" t="s">
        <v>214</v>
      </c>
      <c r="G1" s="37" t="s">
        <v>10</v>
      </c>
      <c r="H1" s="24" t="s">
        <v>212</v>
      </c>
      <c r="I1" s="25" t="s">
        <v>213</v>
      </c>
      <c r="J1" s="54" t="s">
        <v>214</v>
      </c>
    </row>
    <row r="2" spans="1:10" ht="352" x14ac:dyDescent="0.2">
      <c r="A2" s="1" t="s">
        <v>18</v>
      </c>
      <c r="B2" s="11" t="s">
        <v>19</v>
      </c>
      <c r="C2" s="4" t="s">
        <v>20</v>
      </c>
      <c r="D2" s="17">
        <v>3</v>
      </c>
      <c r="E2" s="18">
        <v>3</v>
      </c>
      <c r="F2" s="19">
        <v>2</v>
      </c>
      <c r="G2" s="4" t="s">
        <v>21</v>
      </c>
      <c r="H2" s="17">
        <v>4</v>
      </c>
      <c r="I2" s="18">
        <v>4</v>
      </c>
      <c r="J2" s="19">
        <v>3</v>
      </c>
    </row>
    <row r="3" spans="1:10" ht="409.6" x14ac:dyDescent="0.2">
      <c r="A3" s="1" t="s">
        <v>22</v>
      </c>
      <c r="B3" s="11" t="s">
        <v>23</v>
      </c>
      <c r="C3" s="4" t="s">
        <v>24</v>
      </c>
      <c r="D3" s="17">
        <v>3</v>
      </c>
      <c r="E3" s="18">
        <v>4</v>
      </c>
      <c r="F3" s="19">
        <v>2</v>
      </c>
      <c r="G3" s="4" t="s">
        <v>25</v>
      </c>
      <c r="H3" s="17">
        <v>5</v>
      </c>
      <c r="I3" s="18">
        <v>5</v>
      </c>
      <c r="J3" s="19">
        <v>3</v>
      </c>
    </row>
    <row r="4" spans="1:10" ht="409.6" x14ac:dyDescent="0.2">
      <c r="A4" s="1" t="s">
        <v>26</v>
      </c>
      <c r="B4" s="11" t="s">
        <v>27</v>
      </c>
      <c r="C4" s="4" t="s">
        <v>28</v>
      </c>
      <c r="D4" s="17">
        <v>3</v>
      </c>
      <c r="E4" s="18">
        <v>4</v>
      </c>
      <c r="F4" s="19">
        <v>2</v>
      </c>
      <c r="G4" s="4" t="s">
        <v>29</v>
      </c>
      <c r="H4" s="17">
        <v>5</v>
      </c>
      <c r="I4" s="18">
        <v>4</v>
      </c>
      <c r="J4" s="19">
        <v>3</v>
      </c>
    </row>
    <row r="5" spans="1:10" ht="409" customHeight="1" x14ac:dyDescent="0.2">
      <c r="A5" s="1" t="s">
        <v>32</v>
      </c>
      <c r="B5" s="11" t="s">
        <v>33</v>
      </c>
      <c r="C5" s="4" t="s">
        <v>34</v>
      </c>
      <c r="D5" s="17">
        <v>2</v>
      </c>
      <c r="E5" s="18">
        <v>4</v>
      </c>
      <c r="F5" s="19">
        <v>1</v>
      </c>
      <c r="G5" s="4" t="s">
        <v>35</v>
      </c>
      <c r="H5" s="17">
        <v>5</v>
      </c>
      <c r="I5" s="18">
        <v>3</v>
      </c>
      <c r="J5" s="19">
        <v>2</v>
      </c>
    </row>
    <row r="6" spans="1:10" ht="409.6" x14ac:dyDescent="0.2">
      <c r="A6" s="1" t="s">
        <v>36</v>
      </c>
      <c r="B6" s="11" t="s">
        <v>37</v>
      </c>
      <c r="C6" s="4" t="s">
        <v>38</v>
      </c>
      <c r="D6" s="17">
        <v>3</v>
      </c>
      <c r="E6" s="18">
        <v>4</v>
      </c>
      <c r="F6" s="19">
        <v>2</v>
      </c>
      <c r="G6" s="4" t="s">
        <v>39</v>
      </c>
      <c r="H6" s="17">
        <v>5</v>
      </c>
      <c r="I6" s="18">
        <v>5</v>
      </c>
      <c r="J6" s="19">
        <v>3</v>
      </c>
    </row>
    <row r="7" spans="1:10" ht="242" x14ac:dyDescent="0.2">
      <c r="A7" s="1" t="s">
        <v>40</v>
      </c>
      <c r="B7" s="11" t="s">
        <v>19</v>
      </c>
      <c r="C7" s="4" t="s">
        <v>41</v>
      </c>
      <c r="D7" s="17">
        <v>4</v>
      </c>
      <c r="E7" s="18">
        <v>4</v>
      </c>
      <c r="F7" s="19">
        <v>2</v>
      </c>
      <c r="G7" s="4" t="s">
        <v>42</v>
      </c>
      <c r="H7" s="17">
        <v>5</v>
      </c>
      <c r="I7" s="18">
        <v>5</v>
      </c>
      <c r="J7" s="19">
        <v>3</v>
      </c>
    </row>
    <row r="8" spans="1:10" ht="409.6" x14ac:dyDescent="0.2">
      <c r="A8" s="1" t="s">
        <v>30</v>
      </c>
      <c r="B8" s="11" t="s">
        <v>37</v>
      </c>
      <c r="C8" s="4" t="s">
        <v>43</v>
      </c>
      <c r="D8" s="17">
        <v>4</v>
      </c>
      <c r="E8" s="18">
        <v>4</v>
      </c>
      <c r="F8" s="19">
        <v>2</v>
      </c>
      <c r="G8" s="4" t="s">
        <v>44</v>
      </c>
      <c r="H8" s="17">
        <v>5</v>
      </c>
      <c r="I8" s="18">
        <v>5</v>
      </c>
      <c r="J8" s="19">
        <v>4</v>
      </c>
    </row>
    <row r="9" spans="1:10" ht="409.6" x14ac:dyDescent="0.2">
      <c r="A9" s="1" t="s">
        <v>45</v>
      </c>
      <c r="B9" s="11" t="s">
        <v>46</v>
      </c>
      <c r="C9" s="4" t="s">
        <v>47</v>
      </c>
      <c r="D9" s="17">
        <v>2</v>
      </c>
      <c r="E9" s="18">
        <v>4</v>
      </c>
      <c r="F9" s="19">
        <v>1</v>
      </c>
      <c r="G9" s="4" t="s">
        <v>48</v>
      </c>
      <c r="H9" s="17">
        <v>2</v>
      </c>
      <c r="I9" s="18">
        <v>3</v>
      </c>
      <c r="J9" s="19">
        <v>2</v>
      </c>
    </row>
    <row r="10" spans="1:10" ht="409.6" x14ac:dyDescent="0.2">
      <c r="A10" s="1" t="s">
        <v>49</v>
      </c>
      <c r="B10" s="11" t="s">
        <v>50</v>
      </c>
      <c r="C10" s="4" t="s">
        <v>51</v>
      </c>
      <c r="D10" s="17">
        <v>4</v>
      </c>
      <c r="E10" s="18">
        <v>4</v>
      </c>
      <c r="F10" s="19">
        <v>2</v>
      </c>
      <c r="G10" s="4" t="s">
        <v>52</v>
      </c>
      <c r="H10" s="17">
        <v>5</v>
      </c>
      <c r="I10" s="18">
        <v>4</v>
      </c>
      <c r="J10" s="19">
        <v>4</v>
      </c>
    </row>
    <row r="11" spans="1:10" ht="409.6" x14ac:dyDescent="0.2">
      <c r="A11" s="1" t="s">
        <v>53</v>
      </c>
      <c r="B11" s="11" t="s">
        <v>54</v>
      </c>
      <c r="C11" s="4" t="s">
        <v>55</v>
      </c>
      <c r="D11" s="17">
        <v>4</v>
      </c>
      <c r="E11" s="18">
        <v>4</v>
      </c>
      <c r="F11" s="19">
        <v>3</v>
      </c>
      <c r="G11" s="4" t="s">
        <v>56</v>
      </c>
      <c r="H11" s="17">
        <v>4</v>
      </c>
      <c r="I11" s="18">
        <v>5</v>
      </c>
      <c r="J11" s="19">
        <v>4</v>
      </c>
    </row>
    <row r="12" spans="1:10" ht="409.6" x14ac:dyDescent="0.2">
      <c r="A12" s="1" t="s">
        <v>57</v>
      </c>
      <c r="B12" s="11" t="s">
        <v>54</v>
      </c>
      <c r="C12" s="4" t="s">
        <v>58</v>
      </c>
      <c r="D12" s="17">
        <v>4</v>
      </c>
      <c r="E12" s="18">
        <v>3</v>
      </c>
      <c r="F12" s="19">
        <v>3</v>
      </c>
      <c r="G12" s="4" t="s">
        <v>59</v>
      </c>
      <c r="H12" s="17">
        <v>5</v>
      </c>
      <c r="I12" s="18">
        <v>4</v>
      </c>
      <c r="J12" s="19">
        <v>4</v>
      </c>
    </row>
    <row r="13" spans="1:10" ht="286" x14ac:dyDescent="0.2">
      <c r="A13" s="1" t="s">
        <v>60</v>
      </c>
      <c r="B13" s="11" t="s">
        <v>61</v>
      </c>
      <c r="C13" s="4" t="s">
        <v>62</v>
      </c>
      <c r="D13" s="17">
        <v>3</v>
      </c>
      <c r="E13" s="18">
        <v>4</v>
      </c>
      <c r="F13" s="19">
        <v>2</v>
      </c>
      <c r="G13" s="4" t="s">
        <v>63</v>
      </c>
      <c r="H13" s="17">
        <v>5</v>
      </c>
      <c r="I13" s="18">
        <v>4</v>
      </c>
      <c r="J13" s="19">
        <v>4</v>
      </c>
    </row>
    <row r="14" spans="1:10" ht="409.6" x14ac:dyDescent="0.2">
      <c r="A14" s="1" t="s">
        <v>69</v>
      </c>
      <c r="B14" s="11" t="s">
        <v>23</v>
      </c>
      <c r="C14" s="4" t="s">
        <v>70</v>
      </c>
      <c r="D14" s="17">
        <v>3</v>
      </c>
      <c r="E14" s="18">
        <v>4</v>
      </c>
      <c r="F14" s="19">
        <v>1</v>
      </c>
      <c r="G14" s="4" t="s">
        <v>71</v>
      </c>
      <c r="H14" s="17">
        <v>5</v>
      </c>
      <c r="I14" s="18">
        <v>4</v>
      </c>
      <c r="J14" s="19">
        <v>4</v>
      </c>
    </row>
    <row r="15" spans="1:10" ht="409.6" x14ac:dyDescent="0.2">
      <c r="A15" s="1" t="s">
        <v>72</v>
      </c>
      <c r="B15" s="11" t="s">
        <v>54</v>
      </c>
      <c r="C15" s="4" t="s">
        <v>73</v>
      </c>
      <c r="D15" s="17">
        <v>4</v>
      </c>
      <c r="E15" s="18">
        <v>4</v>
      </c>
      <c r="F15" s="19">
        <v>3</v>
      </c>
      <c r="G15" s="4" t="s">
        <v>74</v>
      </c>
      <c r="H15" s="17">
        <v>5</v>
      </c>
      <c r="I15" s="18">
        <v>5</v>
      </c>
      <c r="J15" s="19">
        <v>4</v>
      </c>
    </row>
    <row r="16" spans="1:10" ht="352" x14ac:dyDescent="0.2">
      <c r="A16" s="1" t="s">
        <v>75</v>
      </c>
      <c r="B16" s="11" t="s">
        <v>27</v>
      </c>
      <c r="C16" s="4" t="s">
        <v>76</v>
      </c>
      <c r="D16" s="17">
        <v>4</v>
      </c>
      <c r="E16" s="18">
        <v>4</v>
      </c>
      <c r="F16" s="19">
        <v>2</v>
      </c>
      <c r="G16" s="4" t="s">
        <v>77</v>
      </c>
      <c r="H16" s="17">
        <v>5</v>
      </c>
      <c r="I16" s="18">
        <v>5</v>
      </c>
      <c r="J16" s="19">
        <v>3</v>
      </c>
    </row>
    <row r="17" spans="1:10" x14ac:dyDescent="0.2">
      <c r="A17" s="1"/>
      <c r="B17" s="11"/>
      <c r="C17" s="4"/>
      <c r="D17" s="17"/>
      <c r="E17" s="18"/>
      <c r="F17" s="19"/>
      <c r="G17" s="4"/>
      <c r="H17" s="17"/>
      <c r="I17" s="18"/>
      <c r="J17" s="19"/>
    </row>
    <row r="18" spans="1:10" x14ac:dyDescent="0.2">
      <c r="A18" s="1"/>
      <c r="B18" s="11"/>
      <c r="C18" s="4"/>
      <c r="D18" s="17"/>
      <c r="E18" s="18"/>
      <c r="F18" s="19"/>
      <c r="G18" s="4" t="s">
        <v>78</v>
      </c>
      <c r="H18" s="17"/>
      <c r="I18" s="18"/>
      <c r="J18" s="19"/>
    </row>
    <row r="19" spans="1:10" x14ac:dyDescent="0.2">
      <c r="A19" s="1"/>
      <c r="B19" s="11"/>
      <c r="C19" s="4"/>
      <c r="D19" s="17"/>
      <c r="E19" s="18"/>
      <c r="F19" s="19"/>
      <c r="G19" s="4"/>
      <c r="H19" s="17"/>
      <c r="I19" s="18"/>
      <c r="J19" s="19"/>
    </row>
    <row r="20" spans="1:10" x14ac:dyDescent="0.2">
      <c r="A20" s="1"/>
      <c r="B20" s="11"/>
      <c r="C20" s="4"/>
      <c r="D20" s="17"/>
      <c r="E20" s="18"/>
      <c r="F20" s="19"/>
      <c r="G20" s="4" t="s">
        <v>79</v>
      </c>
      <c r="H20" s="17"/>
      <c r="I20" s="18"/>
      <c r="J20" s="19"/>
    </row>
    <row r="21" spans="1:10" x14ac:dyDescent="0.2">
      <c r="A21" s="1"/>
      <c r="B21" s="11"/>
      <c r="C21" s="4"/>
      <c r="D21" s="17"/>
      <c r="E21" s="18"/>
      <c r="F21" s="19"/>
      <c r="G21" s="4" t="s">
        <v>80</v>
      </c>
      <c r="H21" s="17"/>
      <c r="I21" s="18"/>
      <c r="J21" s="19"/>
    </row>
    <row r="22" spans="1:10" x14ac:dyDescent="0.2">
      <c r="A22" s="1"/>
      <c r="B22" s="11"/>
      <c r="C22" s="4"/>
      <c r="D22" s="17"/>
      <c r="E22" s="18"/>
      <c r="F22" s="19"/>
      <c r="G22" s="4" t="s">
        <v>81</v>
      </c>
      <c r="H22" s="17"/>
      <c r="I22" s="18"/>
      <c r="J22" s="19"/>
    </row>
    <row r="23" spans="1:10" x14ac:dyDescent="0.2">
      <c r="A23" s="1"/>
      <c r="B23" s="11"/>
      <c r="C23" s="4"/>
      <c r="D23" s="17"/>
      <c r="E23" s="18"/>
      <c r="F23" s="19"/>
      <c r="G23" s="4" t="s">
        <v>82</v>
      </c>
      <c r="H23" s="17"/>
      <c r="I23" s="18"/>
      <c r="J23" s="19"/>
    </row>
    <row r="24" spans="1:10" x14ac:dyDescent="0.2">
      <c r="A24" s="1"/>
      <c r="B24" s="11"/>
      <c r="C24" s="4"/>
      <c r="D24" s="17"/>
      <c r="E24" s="18"/>
      <c r="F24" s="19"/>
      <c r="G24" s="4" t="s">
        <v>83</v>
      </c>
      <c r="H24" s="17"/>
      <c r="I24" s="18"/>
      <c r="J24" s="19"/>
    </row>
    <row r="25" spans="1:10" x14ac:dyDescent="0.2">
      <c r="A25" s="1"/>
      <c r="B25" s="11"/>
      <c r="C25" s="4"/>
      <c r="D25" s="17"/>
      <c r="E25" s="18"/>
      <c r="F25" s="19"/>
      <c r="G25" s="4" t="s">
        <v>84</v>
      </c>
      <c r="H25" s="17"/>
      <c r="I25" s="18"/>
      <c r="J25" s="19"/>
    </row>
    <row r="26" spans="1:10" x14ac:dyDescent="0.2">
      <c r="A26" s="1"/>
      <c r="B26" s="11"/>
      <c r="C26" s="4"/>
      <c r="D26" s="17"/>
      <c r="E26" s="18"/>
      <c r="F26" s="19"/>
      <c r="G26" s="4" t="s">
        <v>85</v>
      </c>
      <c r="H26" s="17"/>
      <c r="I26" s="18"/>
      <c r="J26" s="19"/>
    </row>
    <row r="27" spans="1:10" x14ac:dyDescent="0.2">
      <c r="A27" s="1"/>
      <c r="B27" s="11"/>
      <c r="C27" s="4"/>
      <c r="D27" s="17"/>
      <c r="E27" s="18"/>
      <c r="F27" s="19"/>
      <c r="G27" s="4" t="s">
        <v>86</v>
      </c>
      <c r="H27" s="17"/>
      <c r="I27" s="18"/>
      <c r="J27" s="19"/>
    </row>
    <row r="28" spans="1:10" x14ac:dyDescent="0.2">
      <c r="A28" s="1"/>
      <c r="B28" s="11"/>
      <c r="C28" s="4"/>
      <c r="D28" s="17"/>
      <c r="E28" s="18"/>
      <c r="F28" s="19"/>
      <c r="G28" s="4" t="s">
        <v>87</v>
      </c>
      <c r="H28" s="17"/>
      <c r="I28" s="18"/>
      <c r="J28" s="19"/>
    </row>
    <row r="29" spans="1:10" x14ac:dyDescent="0.2">
      <c r="A29" s="1"/>
      <c r="B29" s="11"/>
      <c r="C29" s="4"/>
      <c r="D29" s="17"/>
      <c r="E29" s="18"/>
      <c r="F29" s="19"/>
      <c r="G29" s="4" t="s">
        <v>88</v>
      </c>
      <c r="H29" s="17"/>
      <c r="I29" s="18"/>
      <c r="J29" s="19"/>
    </row>
    <row r="30" spans="1:10" x14ac:dyDescent="0.2">
      <c r="A30" s="1"/>
      <c r="B30" s="11"/>
      <c r="C30" s="4"/>
      <c r="D30" s="17"/>
      <c r="E30" s="18"/>
      <c r="F30" s="19"/>
      <c r="G30" s="4" t="s">
        <v>89</v>
      </c>
      <c r="H30" s="17"/>
      <c r="I30" s="18"/>
      <c r="J30" s="19"/>
    </row>
    <row r="31" spans="1:10" x14ac:dyDescent="0.2">
      <c r="A31" s="1"/>
      <c r="B31" s="11"/>
      <c r="C31" s="4"/>
      <c r="D31" s="17"/>
      <c r="E31" s="18"/>
      <c r="F31" s="19"/>
      <c r="G31" s="4" t="s">
        <v>90</v>
      </c>
      <c r="H31" s="17"/>
      <c r="I31" s="18"/>
      <c r="J31" s="19"/>
    </row>
    <row r="32" spans="1:10" x14ac:dyDescent="0.2">
      <c r="A32" s="1"/>
      <c r="B32" s="11"/>
      <c r="C32" s="4"/>
      <c r="D32" s="17"/>
      <c r="E32" s="18"/>
      <c r="F32" s="19"/>
      <c r="G32" s="4" t="s">
        <v>91</v>
      </c>
      <c r="H32" s="17"/>
      <c r="I32" s="18"/>
      <c r="J32" s="19"/>
    </row>
    <row r="33" spans="1:10" x14ac:dyDescent="0.2">
      <c r="A33" s="1"/>
      <c r="B33" s="11"/>
      <c r="C33" s="4"/>
      <c r="D33" s="17"/>
      <c r="E33" s="18"/>
      <c r="F33" s="19"/>
      <c r="G33" s="4" t="s">
        <v>92</v>
      </c>
      <c r="H33" s="17"/>
      <c r="I33" s="18"/>
      <c r="J33" s="19"/>
    </row>
    <row r="34" spans="1:10" x14ac:dyDescent="0.2">
      <c r="A34" s="1"/>
      <c r="B34" s="11"/>
      <c r="C34" s="4"/>
      <c r="D34" s="17"/>
      <c r="E34" s="18"/>
      <c r="F34" s="19"/>
      <c r="G34" s="4" t="s">
        <v>93</v>
      </c>
      <c r="H34" s="17"/>
      <c r="I34" s="18"/>
      <c r="J34" s="19"/>
    </row>
    <row r="35" spans="1:10" x14ac:dyDescent="0.2">
      <c r="A35" s="1"/>
      <c r="B35" s="11"/>
      <c r="C35" s="4"/>
      <c r="D35" s="17"/>
      <c r="E35" s="18"/>
      <c r="F35" s="19"/>
      <c r="G35" s="4"/>
      <c r="H35" s="17"/>
      <c r="I35" s="18"/>
      <c r="J35" s="19"/>
    </row>
    <row r="36" spans="1:10" ht="154" x14ac:dyDescent="0.2">
      <c r="A36" s="1"/>
      <c r="B36" s="11"/>
      <c r="C36" s="4"/>
      <c r="D36" s="17"/>
      <c r="E36" s="18"/>
      <c r="F36" s="19"/>
      <c r="G36" s="4" t="s">
        <v>94</v>
      </c>
      <c r="H36" s="17"/>
      <c r="I36" s="18"/>
      <c r="J36" s="19"/>
    </row>
    <row r="37" spans="1:10" x14ac:dyDescent="0.2">
      <c r="A37" s="1"/>
      <c r="B37" s="11"/>
      <c r="C37" s="4"/>
      <c r="D37" s="17"/>
      <c r="E37" s="18"/>
      <c r="F37" s="19"/>
      <c r="G37" s="4"/>
      <c r="H37" s="17"/>
      <c r="I37" s="18"/>
      <c r="J37" s="19"/>
    </row>
    <row r="38" spans="1:10" ht="110" x14ac:dyDescent="0.2">
      <c r="A38" s="1"/>
      <c r="B38" s="11"/>
      <c r="C38" s="4"/>
      <c r="D38" s="17"/>
      <c r="E38" s="18"/>
      <c r="F38" s="19"/>
      <c r="G38" s="4" t="s">
        <v>95</v>
      </c>
      <c r="H38" s="17"/>
      <c r="I38" s="18"/>
      <c r="J38" s="19"/>
    </row>
    <row r="39" spans="1:10" ht="352" x14ac:dyDescent="0.2">
      <c r="A39" s="1" t="s">
        <v>96</v>
      </c>
      <c r="B39" s="11" t="s">
        <v>97</v>
      </c>
      <c r="C39" s="4" t="s">
        <v>98</v>
      </c>
      <c r="D39" s="17">
        <v>4</v>
      </c>
      <c r="E39" s="18">
        <v>4</v>
      </c>
      <c r="F39" s="19">
        <v>3</v>
      </c>
      <c r="G39" s="4" t="s">
        <v>99</v>
      </c>
      <c r="H39" s="17">
        <v>5</v>
      </c>
      <c r="I39" s="18">
        <v>4</v>
      </c>
      <c r="J39" s="19">
        <v>4</v>
      </c>
    </row>
    <row r="40" spans="1:10" x14ac:dyDescent="0.2">
      <c r="A40" s="1"/>
      <c r="B40" s="11"/>
      <c r="C40" s="4"/>
      <c r="D40" s="17"/>
      <c r="E40" s="18"/>
      <c r="F40" s="19"/>
      <c r="G40" s="4"/>
      <c r="H40" s="17"/>
      <c r="I40" s="18"/>
      <c r="J40" s="19"/>
    </row>
    <row r="41" spans="1:10" ht="44" x14ac:dyDescent="0.2">
      <c r="A41" s="1"/>
      <c r="B41" s="11"/>
      <c r="C41" s="4"/>
      <c r="D41" s="17"/>
      <c r="E41" s="18"/>
      <c r="F41" s="19"/>
      <c r="G41" s="4" t="s">
        <v>100</v>
      </c>
      <c r="H41" s="17"/>
      <c r="I41" s="18"/>
      <c r="J41" s="19"/>
    </row>
    <row r="42" spans="1:10" x14ac:dyDescent="0.2">
      <c r="A42" s="1"/>
      <c r="B42" s="11"/>
      <c r="C42" s="4"/>
      <c r="D42" s="17"/>
      <c r="E42" s="18"/>
      <c r="F42" s="19"/>
      <c r="G42" s="4"/>
      <c r="H42" s="17"/>
      <c r="I42" s="18"/>
      <c r="J42" s="19"/>
    </row>
    <row r="43" spans="1:10" x14ac:dyDescent="0.2">
      <c r="A43" s="1"/>
      <c r="B43" s="11"/>
      <c r="C43" s="4"/>
      <c r="D43" s="17"/>
      <c r="E43" s="18"/>
      <c r="F43" s="19"/>
      <c r="G43" s="4" t="s">
        <v>101</v>
      </c>
      <c r="H43" s="17"/>
      <c r="I43" s="18"/>
      <c r="J43" s="19"/>
    </row>
    <row r="44" spans="1:10" x14ac:dyDescent="0.2">
      <c r="A44" s="1"/>
      <c r="B44" s="11"/>
      <c r="C44" s="4"/>
      <c r="D44" s="17"/>
      <c r="E44" s="18"/>
      <c r="F44" s="19"/>
      <c r="G44" s="4" t="s">
        <v>102</v>
      </c>
      <c r="H44" s="17"/>
      <c r="I44" s="18"/>
      <c r="J44" s="19"/>
    </row>
    <row r="45" spans="1:10" x14ac:dyDescent="0.2">
      <c r="A45" s="1"/>
      <c r="B45" s="11"/>
      <c r="C45" s="4"/>
      <c r="D45" s="17"/>
      <c r="E45" s="18"/>
      <c r="F45" s="19"/>
      <c r="G45" s="4" t="s">
        <v>103</v>
      </c>
      <c r="H45" s="17"/>
      <c r="I45" s="18"/>
      <c r="J45" s="19"/>
    </row>
    <row r="46" spans="1:10" x14ac:dyDescent="0.2">
      <c r="A46" s="1"/>
      <c r="B46" s="11"/>
      <c r="C46" s="4"/>
      <c r="D46" s="17"/>
      <c r="E46" s="18"/>
      <c r="F46" s="19"/>
      <c r="G46" s="4" t="s">
        <v>104</v>
      </c>
      <c r="H46" s="17"/>
      <c r="I46" s="18"/>
      <c r="J46" s="19"/>
    </row>
    <row r="47" spans="1:10" x14ac:dyDescent="0.2">
      <c r="A47" s="1"/>
      <c r="B47" s="11"/>
      <c r="C47" s="4"/>
      <c r="D47" s="17"/>
      <c r="E47" s="18"/>
      <c r="F47" s="19"/>
      <c r="G47" s="4" t="s">
        <v>105</v>
      </c>
      <c r="H47" s="17"/>
      <c r="I47" s="18"/>
      <c r="J47" s="19"/>
    </row>
    <row r="48" spans="1:10" x14ac:dyDescent="0.2">
      <c r="A48" s="1"/>
      <c r="B48" s="11"/>
      <c r="C48" s="4"/>
      <c r="D48" s="17"/>
      <c r="E48" s="18"/>
      <c r="F48" s="19"/>
      <c r="G48" s="4" t="s">
        <v>106</v>
      </c>
      <c r="H48" s="17"/>
      <c r="I48" s="18"/>
      <c r="J48" s="19"/>
    </row>
    <row r="49" spans="1:10" x14ac:dyDescent="0.2">
      <c r="A49" s="1"/>
      <c r="B49" s="11"/>
      <c r="C49" s="4"/>
      <c r="D49" s="17"/>
      <c r="E49" s="18"/>
      <c r="F49" s="19"/>
      <c r="G49" s="4" t="s">
        <v>107</v>
      </c>
      <c r="H49" s="17"/>
      <c r="I49" s="18"/>
      <c r="J49" s="19"/>
    </row>
    <row r="50" spans="1:10" x14ac:dyDescent="0.2">
      <c r="A50" s="1"/>
      <c r="B50" s="11"/>
      <c r="C50" s="4"/>
      <c r="D50" s="17"/>
      <c r="E50" s="18"/>
      <c r="F50" s="19"/>
      <c r="G50" s="4" t="s">
        <v>108</v>
      </c>
      <c r="H50" s="17"/>
      <c r="I50" s="18"/>
      <c r="J50" s="19"/>
    </row>
    <row r="51" spans="1:10" x14ac:dyDescent="0.2">
      <c r="A51" s="1"/>
      <c r="B51" s="11"/>
      <c r="C51" s="4"/>
      <c r="D51" s="17"/>
      <c r="E51" s="18"/>
      <c r="F51" s="19"/>
      <c r="G51" s="4" t="s">
        <v>109</v>
      </c>
      <c r="H51" s="17"/>
      <c r="I51" s="18"/>
      <c r="J51" s="19"/>
    </row>
    <row r="52" spans="1:10" x14ac:dyDescent="0.2">
      <c r="A52" s="1"/>
      <c r="B52" s="11"/>
      <c r="C52" s="4"/>
      <c r="D52" s="17"/>
      <c r="E52" s="18"/>
      <c r="F52" s="19"/>
      <c r="G52" s="4" t="s">
        <v>110</v>
      </c>
      <c r="H52" s="17"/>
      <c r="I52" s="18"/>
      <c r="J52" s="19"/>
    </row>
    <row r="53" spans="1:10" x14ac:dyDescent="0.2">
      <c r="A53" s="1"/>
      <c r="B53" s="11"/>
      <c r="C53" s="4"/>
      <c r="D53" s="17"/>
      <c r="E53" s="18"/>
      <c r="F53" s="19"/>
      <c r="G53" s="4" t="s">
        <v>111</v>
      </c>
      <c r="H53" s="17"/>
      <c r="I53" s="18"/>
      <c r="J53" s="19"/>
    </row>
    <row r="54" spans="1:10" x14ac:dyDescent="0.2">
      <c r="A54" s="1"/>
      <c r="B54" s="11"/>
      <c r="C54" s="4"/>
      <c r="D54" s="17"/>
      <c r="E54" s="18"/>
      <c r="F54" s="19"/>
      <c r="G54" s="4"/>
      <c r="H54" s="17"/>
      <c r="I54" s="18"/>
      <c r="J54" s="19"/>
    </row>
    <row r="55" spans="1:10" ht="176" x14ac:dyDescent="0.2">
      <c r="A55" s="1"/>
      <c r="B55" s="11"/>
      <c r="C55" s="4"/>
      <c r="D55" s="17"/>
      <c r="E55" s="18"/>
      <c r="F55" s="19"/>
      <c r="G55" s="4" t="s">
        <v>112</v>
      </c>
      <c r="H55" s="17"/>
      <c r="I55" s="18"/>
      <c r="J55" s="19"/>
    </row>
    <row r="56" spans="1:10" ht="409.6" x14ac:dyDescent="0.2">
      <c r="A56" s="1" t="s">
        <v>113</v>
      </c>
      <c r="B56" s="11" t="s">
        <v>37</v>
      </c>
      <c r="C56" s="4" t="s">
        <v>114</v>
      </c>
      <c r="D56" s="17">
        <v>3</v>
      </c>
      <c r="E56" s="18">
        <v>4</v>
      </c>
      <c r="F56" s="19">
        <v>2</v>
      </c>
      <c r="G56" s="4" t="s">
        <v>115</v>
      </c>
      <c r="H56" s="17">
        <v>4</v>
      </c>
      <c r="I56" s="18">
        <v>4</v>
      </c>
      <c r="J56" s="19">
        <v>4</v>
      </c>
    </row>
    <row r="57" spans="1:10" x14ac:dyDescent="0.2">
      <c r="A57" s="1"/>
      <c r="B57" s="11"/>
      <c r="C57" s="4"/>
      <c r="D57" s="17"/>
      <c r="E57" s="18"/>
      <c r="F57" s="19"/>
      <c r="G57" s="4"/>
      <c r="H57" s="17"/>
      <c r="I57" s="18"/>
      <c r="J57" s="19"/>
    </row>
    <row r="58" spans="1:10" x14ac:dyDescent="0.2">
      <c r="A58" s="1"/>
      <c r="B58" s="11"/>
      <c r="C58" s="4"/>
      <c r="D58" s="17"/>
      <c r="E58" s="18"/>
      <c r="F58" s="19"/>
      <c r="G58" s="4" t="s">
        <v>116</v>
      </c>
      <c r="H58" s="17"/>
      <c r="I58" s="18"/>
      <c r="J58" s="19"/>
    </row>
    <row r="59" spans="1:10" x14ac:dyDescent="0.2">
      <c r="A59" s="1"/>
      <c r="B59" s="11"/>
      <c r="C59" s="4"/>
      <c r="D59" s="17"/>
      <c r="E59" s="18"/>
      <c r="F59" s="19"/>
      <c r="G59" s="4" t="s">
        <v>117</v>
      </c>
      <c r="H59" s="17"/>
      <c r="I59" s="18"/>
      <c r="J59" s="19"/>
    </row>
    <row r="60" spans="1:10" x14ac:dyDescent="0.2">
      <c r="A60" s="1"/>
      <c r="B60" s="11"/>
      <c r="C60" s="4"/>
      <c r="D60" s="17"/>
      <c r="E60" s="18"/>
      <c r="F60" s="19"/>
      <c r="G60" s="4" t="s">
        <v>118</v>
      </c>
      <c r="H60" s="17"/>
      <c r="I60" s="18"/>
      <c r="J60" s="19"/>
    </row>
    <row r="61" spans="1:10" x14ac:dyDescent="0.2">
      <c r="A61" s="1"/>
      <c r="B61" s="11"/>
      <c r="C61" s="4"/>
      <c r="D61" s="17"/>
      <c r="E61" s="18"/>
      <c r="F61" s="19"/>
      <c r="G61" s="4" t="s">
        <v>119</v>
      </c>
      <c r="H61" s="17"/>
      <c r="I61" s="18"/>
      <c r="J61" s="19"/>
    </row>
    <row r="62" spans="1:10" ht="44" x14ac:dyDescent="0.2">
      <c r="A62" s="1"/>
      <c r="B62" s="11"/>
      <c r="C62" s="4"/>
      <c r="D62" s="17"/>
      <c r="E62" s="18"/>
      <c r="F62" s="19"/>
      <c r="G62" s="4" t="s">
        <v>120</v>
      </c>
      <c r="H62" s="17"/>
      <c r="I62" s="18"/>
      <c r="J62" s="19"/>
    </row>
    <row r="63" spans="1:10" x14ac:dyDescent="0.2">
      <c r="A63" s="1"/>
      <c r="B63" s="11"/>
      <c r="C63" s="4"/>
      <c r="D63" s="17"/>
      <c r="E63" s="18"/>
      <c r="F63" s="19"/>
      <c r="G63" s="4"/>
      <c r="H63" s="17"/>
      <c r="I63" s="18"/>
      <c r="J63" s="19"/>
    </row>
    <row r="64" spans="1:10" ht="110" x14ac:dyDescent="0.2">
      <c r="A64" s="1"/>
      <c r="B64" s="11"/>
      <c r="C64" s="4"/>
      <c r="D64" s="17"/>
      <c r="E64" s="18"/>
      <c r="F64" s="19"/>
      <c r="G64" s="4" t="s">
        <v>121</v>
      </c>
      <c r="H64" s="17"/>
      <c r="I64" s="18"/>
      <c r="J64" s="19"/>
    </row>
    <row r="65" spans="1:10" ht="242" x14ac:dyDescent="0.2">
      <c r="A65" s="1" t="s">
        <v>122</v>
      </c>
      <c r="B65" s="11" t="s">
        <v>123</v>
      </c>
      <c r="C65" s="4" t="s">
        <v>124</v>
      </c>
      <c r="D65" s="17">
        <v>4</v>
      </c>
      <c r="E65" s="18">
        <v>4</v>
      </c>
      <c r="F65" s="19">
        <v>2</v>
      </c>
      <c r="G65" s="4" t="s">
        <v>125</v>
      </c>
      <c r="H65" s="17">
        <v>4</v>
      </c>
      <c r="I65" s="18">
        <v>4</v>
      </c>
      <c r="J65" s="19">
        <v>3</v>
      </c>
    </row>
    <row r="66" spans="1:10" ht="409.6" x14ac:dyDescent="0.2">
      <c r="A66" s="1" t="s">
        <v>128</v>
      </c>
      <c r="B66" s="11" t="s">
        <v>27</v>
      </c>
      <c r="C66" s="4" t="s">
        <v>129</v>
      </c>
      <c r="D66" s="17">
        <v>3</v>
      </c>
      <c r="E66" s="18">
        <v>4</v>
      </c>
      <c r="F66" s="19">
        <v>1</v>
      </c>
      <c r="G66" s="4" t="s">
        <v>130</v>
      </c>
      <c r="H66" s="17">
        <v>4</v>
      </c>
      <c r="I66" s="18">
        <v>5</v>
      </c>
      <c r="J66" s="19">
        <v>3</v>
      </c>
    </row>
    <row r="67" spans="1:10" x14ac:dyDescent="0.2">
      <c r="A67" s="1"/>
      <c r="B67" s="11"/>
      <c r="C67" s="4"/>
      <c r="D67" s="17"/>
      <c r="E67" s="18"/>
      <c r="F67" s="19"/>
      <c r="G67" s="4"/>
      <c r="H67" s="17"/>
      <c r="I67" s="18"/>
      <c r="J67" s="19"/>
    </row>
    <row r="68" spans="1:10" ht="44" x14ac:dyDescent="0.2">
      <c r="A68" s="1"/>
      <c r="B68" s="11"/>
      <c r="C68" s="4"/>
      <c r="D68" s="17"/>
      <c r="E68" s="18"/>
      <c r="F68" s="19"/>
      <c r="G68" s="4" t="s">
        <v>131</v>
      </c>
      <c r="H68" s="17"/>
      <c r="I68" s="18"/>
      <c r="J68" s="19"/>
    </row>
    <row r="69" spans="1:10" x14ac:dyDescent="0.2">
      <c r="A69" s="1"/>
      <c r="B69" s="11"/>
      <c r="C69" s="4"/>
      <c r="D69" s="17"/>
      <c r="E69" s="18"/>
      <c r="F69" s="19"/>
      <c r="G69" s="4"/>
      <c r="H69" s="17"/>
      <c r="I69" s="18"/>
      <c r="J69" s="19"/>
    </row>
    <row r="70" spans="1:10" ht="66" x14ac:dyDescent="0.2">
      <c r="A70" s="1"/>
      <c r="B70" s="11"/>
      <c r="C70" s="4"/>
      <c r="D70" s="17"/>
      <c r="E70" s="18"/>
      <c r="F70" s="19"/>
      <c r="G70" s="4" t="s">
        <v>132</v>
      </c>
      <c r="H70" s="17"/>
      <c r="I70" s="18"/>
      <c r="J70" s="19"/>
    </row>
    <row r="71" spans="1:10" ht="66" x14ac:dyDescent="0.2">
      <c r="A71" s="1"/>
      <c r="B71" s="11"/>
      <c r="C71" s="4"/>
      <c r="D71" s="17"/>
      <c r="E71" s="18"/>
      <c r="F71" s="19"/>
      <c r="G71" s="4" t="s">
        <v>133</v>
      </c>
      <c r="H71" s="17"/>
      <c r="I71" s="18"/>
      <c r="J71" s="19"/>
    </row>
    <row r="72" spans="1:10" ht="44" x14ac:dyDescent="0.2">
      <c r="A72" s="1"/>
      <c r="B72" s="11"/>
      <c r="C72" s="4"/>
      <c r="D72" s="17"/>
      <c r="E72" s="18"/>
      <c r="F72" s="19"/>
      <c r="G72" s="4" t="s">
        <v>134</v>
      </c>
      <c r="H72" s="17"/>
      <c r="I72" s="18"/>
      <c r="J72" s="19"/>
    </row>
    <row r="73" spans="1:10" x14ac:dyDescent="0.2">
      <c r="A73" s="1"/>
      <c r="B73" s="11"/>
      <c r="C73" s="4"/>
      <c r="D73" s="17"/>
      <c r="E73" s="18"/>
      <c r="F73" s="19"/>
      <c r="G73" s="4"/>
      <c r="H73" s="17"/>
      <c r="I73" s="18"/>
      <c r="J73" s="19"/>
    </row>
    <row r="74" spans="1:10" ht="88" x14ac:dyDescent="0.2">
      <c r="A74" s="1"/>
      <c r="B74" s="11"/>
      <c r="C74" s="4"/>
      <c r="D74" s="17"/>
      <c r="E74" s="18"/>
      <c r="F74" s="19"/>
      <c r="G74" s="4" t="s">
        <v>135</v>
      </c>
      <c r="H74" s="17"/>
      <c r="I74" s="18"/>
      <c r="J74" s="19"/>
    </row>
    <row r="75" spans="1:10" x14ac:dyDescent="0.2">
      <c r="A75" s="1"/>
      <c r="B75" s="11"/>
      <c r="C75" s="4"/>
      <c r="D75" s="17"/>
      <c r="E75" s="18"/>
      <c r="F75" s="19"/>
      <c r="G75" s="4"/>
      <c r="H75" s="17"/>
      <c r="I75" s="18"/>
      <c r="J75" s="19"/>
    </row>
    <row r="76" spans="1:10" ht="132" x14ac:dyDescent="0.2">
      <c r="A76" s="1"/>
      <c r="B76" s="11"/>
      <c r="C76" s="4"/>
      <c r="D76" s="17"/>
      <c r="E76" s="18"/>
      <c r="F76" s="19"/>
      <c r="G76" s="4" t="s">
        <v>136</v>
      </c>
      <c r="H76" s="17"/>
      <c r="I76" s="18"/>
      <c r="J76" s="19"/>
    </row>
    <row r="77" spans="1:10" ht="374" x14ac:dyDescent="0.2">
      <c r="A77" s="1" t="s">
        <v>137</v>
      </c>
      <c r="B77" s="11" t="s">
        <v>61</v>
      </c>
      <c r="C77" s="4" t="s">
        <v>138</v>
      </c>
      <c r="D77" s="17">
        <v>3</v>
      </c>
      <c r="E77" s="18">
        <v>4</v>
      </c>
      <c r="F77" s="19">
        <v>1</v>
      </c>
      <c r="G77" s="4" t="s">
        <v>139</v>
      </c>
      <c r="H77" s="17">
        <v>4</v>
      </c>
      <c r="I77" s="18">
        <v>5</v>
      </c>
      <c r="J77" s="19">
        <v>3</v>
      </c>
    </row>
    <row r="78" spans="1:10" x14ac:dyDescent="0.2">
      <c r="A78" s="1"/>
      <c r="B78" s="11"/>
      <c r="C78" s="4"/>
      <c r="D78" s="17"/>
      <c r="E78" s="18"/>
      <c r="F78" s="19"/>
      <c r="G78" s="4"/>
      <c r="H78" s="17"/>
      <c r="I78" s="18"/>
      <c r="J78" s="19"/>
    </row>
    <row r="79" spans="1:10" ht="66" x14ac:dyDescent="0.2">
      <c r="A79" s="1"/>
      <c r="B79" s="11"/>
      <c r="C79" s="4"/>
      <c r="D79" s="17"/>
      <c r="E79" s="18"/>
      <c r="F79" s="19"/>
      <c r="G79" s="4" t="s">
        <v>140</v>
      </c>
      <c r="H79" s="17"/>
      <c r="I79" s="18"/>
      <c r="J79" s="19"/>
    </row>
    <row r="80" spans="1:10" x14ac:dyDescent="0.2">
      <c r="A80" s="1"/>
      <c r="B80" s="11"/>
      <c r="C80" s="4"/>
      <c r="D80" s="17"/>
      <c r="E80" s="18"/>
      <c r="F80" s="19"/>
      <c r="G80" s="4" t="s">
        <v>141</v>
      </c>
      <c r="H80" s="17"/>
      <c r="I80" s="18"/>
      <c r="J80" s="19"/>
    </row>
    <row r="81" spans="1:10" ht="44" x14ac:dyDescent="0.2">
      <c r="A81" s="1"/>
      <c r="B81" s="11"/>
      <c r="C81" s="4"/>
      <c r="D81" s="17"/>
      <c r="E81" s="18"/>
      <c r="F81" s="19"/>
      <c r="G81" s="4" t="s">
        <v>142</v>
      </c>
      <c r="H81" s="17"/>
      <c r="I81" s="18"/>
      <c r="J81" s="19"/>
    </row>
    <row r="82" spans="1:10" x14ac:dyDescent="0.2">
      <c r="A82" s="1"/>
      <c r="B82" s="11"/>
      <c r="C82" s="4"/>
      <c r="D82" s="17"/>
      <c r="E82" s="18"/>
      <c r="F82" s="19"/>
      <c r="G82" s="4" t="s">
        <v>143</v>
      </c>
      <c r="H82" s="17"/>
      <c r="I82" s="18"/>
      <c r="J82" s="19"/>
    </row>
    <row r="83" spans="1:10" x14ac:dyDescent="0.2">
      <c r="A83" s="1"/>
      <c r="B83" s="11"/>
      <c r="C83" s="4"/>
      <c r="D83" s="17"/>
      <c r="E83" s="18"/>
      <c r="F83" s="19"/>
      <c r="G83" s="4" t="s">
        <v>144</v>
      </c>
      <c r="H83" s="17"/>
      <c r="I83" s="18"/>
      <c r="J83" s="19"/>
    </row>
    <row r="84" spans="1:10" x14ac:dyDescent="0.2">
      <c r="A84" s="1"/>
      <c r="B84" s="11"/>
      <c r="C84" s="4"/>
      <c r="D84" s="17"/>
      <c r="E84" s="18"/>
      <c r="F84" s="19"/>
      <c r="G84" s="4" t="s">
        <v>145</v>
      </c>
      <c r="H84" s="17"/>
      <c r="I84" s="18"/>
      <c r="J84" s="19"/>
    </row>
    <row r="85" spans="1:10" ht="44" x14ac:dyDescent="0.2">
      <c r="A85" s="1"/>
      <c r="B85" s="11"/>
      <c r="C85" s="4"/>
      <c r="D85" s="17"/>
      <c r="E85" s="18"/>
      <c r="F85" s="19"/>
      <c r="G85" s="4" t="s">
        <v>146</v>
      </c>
      <c r="H85" s="17"/>
      <c r="I85" s="18"/>
      <c r="J85" s="19"/>
    </row>
    <row r="86" spans="1:10" x14ac:dyDescent="0.2">
      <c r="A86" s="1"/>
      <c r="B86" s="11"/>
      <c r="C86" s="4"/>
      <c r="D86" s="17"/>
      <c r="E86" s="18"/>
      <c r="F86" s="19"/>
      <c r="G86" s="4" t="s">
        <v>147</v>
      </c>
      <c r="H86" s="17"/>
      <c r="I86" s="18"/>
      <c r="J86" s="19"/>
    </row>
    <row r="87" spans="1:10" x14ac:dyDescent="0.2">
      <c r="A87" s="1"/>
      <c r="B87" s="11"/>
      <c r="C87" s="4"/>
      <c r="D87" s="17"/>
      <c r="E87" s="18"/>
      <c r="F87" s="19"/>
      <c r="G87" s="4"/>
      <c r="H87" s="17"/>
      <c r="I87" s="18"/>
      <c r="J87" s="19"/>
    </row>
    <row r="88" spans="1:10" ht="88" x14ac:dyDescent="0.2">
      <c r="A88" s="1"/>
      <c r="B88" s="11"/>
      <c r="C88" s="4"/>
      <c r="D88" s="17"/>
      <c r="E88" s="18"/>
      <c r="F88" s="19"/>
      <c r="G88" s="4" t="s">
        <v>148</v>
      </c>
      <c r="H88" s="17"/>
      <c r="I88" s="18"/>
      <c r="J88" s="19"/>
    </row>
    <row r="89" spans="1:10" ht="242" x14ac:dyDescent="0.2">
      <c r="A89" s="1" t="s">
        <v>149</v>
      </c>
      <c r="B89" s="11" t="s">
        <v>123</v>
      </c>
      <c r="C89" s="4" t="s">
        <v>150</v>
      </c>
      <c r="D89" s="17">
        <v>3</v>
      </c>
      <c r="E89" s="18">
        <v>4</v>
      </c>
      <c r="F89" s="19">
        <v>1</v>
      </c>
      <c r="G89" s="4" t="s">
        <v>151</v>
      </c>
      <c r="H89" s="17">
        <v>3</v>
      </c>
      <c r="I89" s="18">
        <v>4</v>
      </c>
      <c r="J89" s="19">
        <v>3</v>
      </c>
    </row>
    <row r="90" spans="1:10" ht="330" x14ac:dyDescent="0.2">
      <c r="A90" s="1" t="s">
        <v>113</v>
      </c>
      <c r="B90" s="11" t="s">
        <v>97</v>
      </c>
      <c r="C90" s="4" t="s">
        <v>152</v>
      </c>
      <c r="D90" s="17">
        <v>3</v>
      </c>
      <c r="E90" s="18">
        <v>4</v>
      </c>
      <c r="F90" s="19">
        <v>2</v>
      </c>
      <c r="G90" s="4" t="s">
        <v>153</v>
      </c>
      <c r="H90" s="17">
        <v>4</v>
      </c>
      <c r="I90" s="18">
        <v>5</v>
      </c>
      <c r="J90" s="19">
        <v>4</v>
      </c>
    </row>
    <row r="91" spans="1:10" x14ac:dyDescent="0.2">
      <c r="A91" s="1"/>
      <c r="B91" s="11"/>
      <c r="C91" s="4"/>
      <c r="D91" s="17"/>
      <c r="E91" s="18"/>
      <c r="F91" s="19"/>
      <c r="G91" s="4"/>
      <c r="H91" s="17"/>
      <c r="I91" s="18"/>
      <c r="J91" s="19"/>
    </row>
    <row r="92" spans="1:10" ht="44" x14ac:dyDescent="0.2">
      <c r="A92" s="1"/>
      <c r="B92" s="11"/>
      <c r="C92" s="4"/>
      <c r="D92" s="17"/>
      <c r="E92" s="18"/>
      <c r="F92" s="19"/>
      <c r="G92" s="4" t="s">
        <v>100</v>
      </c>
      <c r="H92" s="17"/>
      <c r="I92" s="18"/>
      <c r="J92" s="19"/>
    </row>
    <row r="93" spans="1:10" x14ac:dyDescent="0.2">
      <c r="A93" s="1"/>
      <c r="B93" s="11"/>
      <c r="C93" s="4"/>
      <c r="D93" s="17"/>
      <c r="E93" s="18"/>
      <c r="F93" s="19"/>
      <c r="G93" s="4"/>
      <c r="H93" s="17"/>
      <c r="I93" s="18"/>
      <c r="J93" s="19"/>
    </row>
    <row r="94" spans="1:10" x14ac:dyDescent="0.2">
      <c r="A94" s="1"/>
      <c r="B94" s="11"/>
      <c r="C94" s="4"/>
      <c r="D94" s="17"/>
      <c r="E94" s="18"/>
      <c r="F94" s="19"/>
      <c r="G94" s="4" t="s">
        <v>154</v>
      </c>
      <c r="H94" s="17"/>
      <c r="I94" s="18"/>
      <c r="J94" s="19"/>
    </row>
    <row r="95" spans="1:10" x14ac:dyDescent="0.2">
      <c r="A95" s="1"/>
      <c r="B95" s="11"/>
      <c r="C95" s="4"/>
      <c r="D95" s="17"/>
      <c r="E95" s="18"/>
      <c r="F95" s="19"/>
      <c r="G95" s="4" t="s">
        <v>155</v>
      </c>
      <c r="H95" s="17"/>
      <c r="I95" s="18"/>
      <c r="J95" s="19"/>
    </row>
    <row r="96" spans="1:10" x14ac:dyDescent="0.2">
      <c r="A96" s="1"/>
      <c r="B96" s="11"/>
      <c r="C96" s="4"/>
      <c r="D96" s="17"/>
      <c r="E96" s="18"/>
      <c r="F96" s="19"/>
      <c r="G96" s="4" t="s">
        <v>156</v>
      </c>
      <c r="H96" s="17"/>
      <c r="I96" s="18"/>
      <c r="J96" s="19"/>
    </row>
    <row r="97" spans="1:10" x14ac:dyDescent="0.2">
      <c r="A97" s="1"/>
      <c r="B97" s="11"/>
      <c r="C97" s="4"/>
      <c r="D97" s="17"/>
      <c r="E97" s="18"/>
      <c r="F97" s="19"/>
      <c r="G97" s="4" t="s">
        <v>157</v>
      </c>
      <c r="H97" s="17"/>
      <c r="I97" s="18"/>
      <c r="J97" s="19"/>
    </row>
    <row r="98" spans="1:10" x14ac:dyDescent="0.2">
      <c r="A98" s="1"/>
      <c r="B98" s="11"/>
      <c r="C98" s="4"/>
      <c r="D98" s="17"/>
      <c r="E98" s="18"/>
      <c r="F98" s="19"/>
      <c r="G98" s="4" t="s">
        <v>158</v>
      </c>
      <c r="H98" s="17"/>
      <c r="I98" s="18"/>
      <c r="J98" s="19"/>
    </row>
    <row r="99" spans="1:10" x14ac:dyDescent="0.2">
      <c r="A99" s="1"/>
      <c r="B99" s="11"/>
      <c r="C99" s="4"/>
      <c r="D99" s="17"/>
      <c r="E99" s="18"/>
      <c r="F99" s="19"/>
      <c r="G99" s="4" t="s">
        <v>159</v>
      </c>
      <c r="H99" s="17"/>
      <c r="I99" s="18"/>
      <c r="J99" s="19"/>
    </row>
    <row r="100" spans="1:10" x14ac:dyDescent="0.2">
      <c r="A100" s="1"/>
      <c r="B100" s="11"/>
      <c r="C100" s="4"/>
      <c r="D100" s="17"/>
      <c r="E100" s="18"/>
      <c r="F100" s="19"/>
      <c r="G100" s="4" t="s">
        <v>160</v>
      </c>
      <c r="H100" s="17"/>
      <c r="I100" s="18"/>
      <c r="J100" s="19"/>
    </row>
    <row r="101" spans="1:10" x14ac:dyDescent="0.2">
      <c r="A101" s="1"/>
      <c r="B101" s="11"/>
      <c r="C101" s="4"/>
      <c r="D101" s="17"/>
      <c r="E101" s="18"/>
      <c r="F101" s="19"/>
      <c r="G101" s="4" t="s">
        <v>161</v>
      </c>
      <c r="H101" s="17"/>
      <c r="I101" s="18"/>
      <c r="J101" s="19"/>
    </row>
    <row r="102" spans="1:10" x14ac:dyDescent="0.2">
      <c r="A102" s="1"/>
      <c r="B102" s="11"/>
      <c r="C102" s="4"/>
      <c r="D102" s="17"/>
      <c r="E102" s="18"/>
      <c r="F102" s="19"/>
      <c r="G102" s="4" t="s">
        <v>162</v>
      </c>
      <c r="H102" s="17"/>
      <c r="I102" s="18"/>
      <c r="J102" s="19"/>
    </row>
    <row r="103" spans="1:10" x14ac:dyDescent="0.2">
      <c r="A103" s="1"/>
      <c r="B103" s="11"/>
      <c r="C103" s="4"/>
      <c r="D103" s="17"/>
      <c r="E103" s="18"/>
      <c r="F103" s="19"/>
      <c r="G103" s="4" t="s">
        <v>163</v>
      </c>
      <c r="H103" s="17"/>
      <c r="I103" s="18"/>
      <c r="J103" s="19"/>
    </row>
    <row r="104" spans="1:10" x14ac:dyDescent="0.2">
      <c r="A104" s="1"/>
      <c r="B104" s="11"/>
      <c r="C104" s="4"/>
      <c r="D104" s="17"/>
      <c r="E104" s="18"/>
      <c r="F104" s="19"/>
      <c r="G104" s="4"/>
      <c r="H104" s="17"/>
      <c r="I104" s="18"/>
      <c r="J104" s="19"/>
    </row>
    <row r="105" spans="1:10" ht="154" x14ac:dyDescent="0.2">
      <c r="A105" s="1"/>
      <c r="B105" s="11"/>
      <c r="C105" s="4"/>
      <c r="D105" s="17"/>
      <c r="E105" s="18"/>
      <c r="F105" s="19"/>
      <c r="G105" s="4" t="s">
        <v>164</v>
      </c>
      <c r="H105" s="17"/>
      <c r="I105" s="18"/>
      <c r="J105" s="19"/>
    </row>
    <row r="106" spans="1:10" x14ac:dyDescent="0.2">
      <c r="A106" s="1"/>
      <c r="B106" s="11"/>
      <c r="C106" s="4"/>
      <c r="D106" s="17"/>
      <c r="E106" s="18"/>
      <c r="F106" s="19"/>
      <c r="G106" s="4"/>
      <c r="H106" s="17"/>
      <c r="I106" s="18"/>
      <c r="J106" s="19"/>
    </row>
    <row r="107" spans="1:10" ht="88" x14ac:dyDescent="0.2">
      <c r="A107" s="1"/>
      <c r="B107" s="11"/>
      <c r="C107" s="4"/>
      <c r="D107" s="17"/>
      <c r="E107" s="18"/>
      <c r="F107" s="19"/>
      <c r="G107" s="4" t="s">
        <v>165</v>
      </c>
      <c r="H107" s="17"/>
      <c r="I107" s="18"/>
      <c r="J107" s="19"/>
    </row>
    <row r="108" spans="1:10" ht="374" x14ac:dyDescent="0.2">
      <c r="A108" s="1" t="s">
        <v>60</v>
      </c>
      <c r="B108" s="11" t="s">
        <v>168</v>
      </c>
      <c r="C108" s="4" t="s">
        <v>169</v>
      </c>
      <c r="D108" s="17">
        <v>2</v>
      </c>
      <c r="E108" s="18">
        <v>3</v>
      </c>
      <c r="F108" s="19">
        <v>1</v>
      </c>
      <c r="G108" s="4" t="s">
        <v>170</v>
      </c>
      <c r="H108" s="17">
        <v>4</v>
      </c>
      <c r="I108" s="18">
        <v>4</v>
      </c>
      <c r="J108" s="19">
        <v>3</v>
      </c>
    </row>
    <row r="109" spans="1:10" ht="374" x14ac:dyDescent="0.2">
      <c r="A109" s="1" t="s">
        <v>171</v>
      </c>
      <c r="B109" s="11" t="s">
        <v>23</v>
      </c>
      <c r="C109" s="4" t="s">
        <v>172</v>
      </c>
      <c r="D109" s="17">
        <v>4</v>
      </c>
      <c r="E109" s="18">
        <v>4</v>
      </c>
      <c r="F109" s="19">
        <v>3</v>
      </c>
      <c r="G109" s="4" t="s">
        <v>173</v>
      </c>
      <c r="H109" s="17">
        <v>4</v>
      </c>
      <c r="I109" s="18">
        <v>4</v>
      </c>
      <c r="J109" s="19">
        <v>4</v>
      </c>
    </row>
    <row r="110" spans="1:10" x14ac:dyDescent="0.2">
      <c r="A110" s="1"/>
      <c r="B110" s="11"/>
      <c r="C110" s="4"/>
      <c r="D110" s="17"/>
      <c r="E110" s="18"/>
      <c r="F110" s="19"/>
      <c r="G110" s="4"/>
      <c r="H110" s="17"/>
      <c r="I110" s="18"/>
      <c r="J110" s="19"/>
    </row>
    <row r="111" spans="1:10" x14ac:dyDescent="0.2">
      <c r="A111" s="1"/>
      <c r="B111" s="11"/>
      <c r="C111" s="4"/>
      <c r="D111" s="17"/>
      <c r="E111" s="18"/>
      <c r="F111" s="19"/>
      <c r="G111" s="4" t="s">
        <v>174</v>
      </c>
      <c r="H111" s="17"/>
      <c r="I111" s="18"/>
      <c r="J111" s="19"/>
    </row>
    <row r="112" spans="1:10" x14ac:dyDescent="0.2">
      <c r="A112" s="1"/>
      <c r="B112" s="11"/>
      <c r="C112" s="4"/>
      <c r="D112" s="17"/>
      <c r="E112" s="18"/>
      <c r="F112" s="19"/>
      <c r="G112" s="4"/>
      <c r="H112" s="17"/>
      <c r="I112" s="18"/>
      <c r="J112" s="19"/>
    </row>
    <row r="113" spans="1:10" x14ac:dyDescent="0.2">
      <c r="A113" s="1"/>
      <c r="B113" s="11"/>
      <c r="C113" s="4"/>
      <c r="D113" s="17"/>
      <c r="E113" s="18"/>
      <c r="F113" s="19"/>
      <c r="G113" s="4" t="s">
        <v>175</v>
      </c>
      <c r="H113" s="17"/>
      <c r="I113" s="18"/>
      <c r="J113" s="19"/>
    </row>
    <row r="114" spans="1:10" x14ac:dyDescent="0.2">
      <c r="A114" s="1"/>
      <c r="B114" s="11"/>
      <c r="C114" s="4"/>
      <c r="D114" s="17"/>
      <c r="E114" s="18"/>
      <c r="F114" s="19"/>
      <c r="G114" s="4" t="s">
        <v>176</v>
      </c>
      <c r="H114" s="17"/>
      <c r="I114" s="18"/>
      <c r="J114" s="19"/>
    </row>
    <row r="115" spans="1:10" x14ac:dyDescent="0.2">
      <c r="A115" s="1"/>
      <c r="B115" s="11"/>
      <c r="C115" s="4"/>
      <c r="D115" s="17"/>
      <c r="E115" s="18"/>
      <c r="F115" s="19"/>
      <c r="G115" s="4" t="s">
        <v>177</v>
      </c>
      <c r="H115" s="17"/>
      <c r="I115" s="18"/>
      <c r="J115" s="19"/>
    </row>
    <row r="116" spans="1:10" x14ac:dyDescent="0.2">
      <c r="A116" s="1"/>
      <c r="B116" s="11"/>
      <c r="C116" s="4"/>
      <c r="D116" s="17"/>
      <c r="E116" s="18"/>
      <c r="F116" s="19"/>
      <c r="G116" s="4" t="s">
        <v>178</v>
      </c>
      <c r="H116" s="17"/>
      <c r="I116" s="18"/>
      <c r="J116" s="19"/>
    </row>
    <row r="117" spans="1:10" x14ac:dyDescent="0.2">
      <c r="A117" s="1"/>
      <c r="B117" s="11"/>
      <c r="C117" s="4"/>
      <c r="D117" s="17"/>
      <c r="E117" s="18"/>
      <c r="F117" s="19"/>
      <c r="G117" s="4" t="s">
        <v>179</v>
      </c>
      <c r="H117" s="17"/>
      <c r="I117" s="18"/>
      <c r="J117" s="19"/>
    </row>
    <row r="118" spans="1:10" x14ac:dyDescent="0.2">
      <c r="A118" s="1"/>
      <c r="B118" s="11"/>
      <c r="C118" s="4"/>
      <c r="D118" s="17"/>
      <c r="E118" s="18"/>
      <c r="F118" s="19"/>
      <c r="G118" s="4"/>
      <c r="H118" s="17"/>
      <c r="I118" s="18"/>
      <c r="J118" s="19"/>
    </row>
    <row r="119" spans="1:10" ht="88" x14ac:dyDescent="0.2">
      <c r="A119" s="1"/>
      <c r="B119" s="11"/>
      <c r="C119" s="4"/>
      <c r="D119" s="17"/>
      <c r="E119" s="18"/>
      <c r="F119" s="19"/>
      <c r="G119" s="4" t="s">
        <v>180</v>
      </c>
      <c r="H119" s="17"/>
      <c r="I119" s="18"/>
      <c r="J119" s="19"/>
    </row>
    <row r="120" spans="1:10" x14ac:dyDescent="0.2">
      <c r="A120" s="1"/>
      <c r="B120" s="11"/>
      <c r="C120" s="4"/>
      <c r="D120" s="17"/>
      <c r="E120" s="18"/>
      <c r="F120" s="19"/>
      <c r="G120" s="4"/>
      <c r="H120" s="17"/>
      <c r="I120" s="18"/>
      <c r="J120" s="19"/>
    </row>
    <row r="121" spans="1:10" ht="110" x14ac:dyDescent="0.2">
      <c r="A121" s="1"/>
      <c r="B121" s="11"/>
      <c r="C121" s="4"/>
      <c r="D121" s="17"/>
      <c r="E121" s="18"/>
      <c r="F121" s="19"/>
      <c r="G121" s="4" t="s">
        <v>181</v>
      </c>
      <c r="H121" s="17"/>
      <c r="I121" s="18"/>
      <c r="J121" s="19"/>
    </row>
    <row r="122" spans="1:10" ht="308" x14ac:dyDescent="0.2">
      <c r="A122" s="1" t="s">
        <v>182</v>
      </c>
      <c r="B122" s="11" t="s">
        <v>23</v>
      </c>
      <c r="C122" s="4" t="s">
        <v>183</v>
      </c>
      <c r="D122" s="17">
        <v>4</v>
      </c>
      <c r="E122" s="18">
        <v>4</v>
      </c>
      <c r="F122" s="19">
        <v>3</v>
      </c>
      <c r="G122" s="4" t="s">
        <v>184</v>
      </c>
      <c r="H122" s="17">
        <v>4</v>
      </c>
      <c r="I122" s="18">
        <v>4</v>
      </c>
      <c r="J122" s="19">
        <v>4</v>
      </c>
    </row>
    <row r="123" spans="1:10" x14ac:dyDescent="0.2">
      <c r="A123" s="1"/>
      <c r="B123" s="11"/>
      <c r="C123" s="4"/>
      <c r="D123" s="17"/>
      <c r="E123" s="18"/>
      <c r="F123" s="19"/>
      <c r="G123" s="4"/>
      <c r="H123" s="17"/>
      <c r="I123" s="18"/>
      <c r="J123" s="19"/>
    </row>
    <row r="124" spans="1:10" ht="88" x14ac:dyDescent="0.2">
      <c r="A124" s="1"/>
      <c r="B124" s="11"/>
      <c r="C124" s="4"/>
      <c r="D124" s="17"/>
      <c r="E124" s="18"/>
      <c r="F124" s="19"/>
      <c r="G124" s="4" t="s">
        <v>185</v>
      </c>
      <c r="H124" s="17"/>
      <c r="I124" s="18"/>
      <c r="J124" s="19"/>
    </row>
    <row r="125" spans="1:10" x14ac:dyDescent="0.2">
      <c r="A125" s="1"/>
      <c r="B125" s="11"/>
      <c r="C125" s="4"/>
      <c r="D125" s="17"/>
      <c r="E125" s="18"/>
      <c r="F125" s="19"/>
      <c r="G125" s="4"/>
      <c r="H125" s="17"/>
      <c r="I125" s="18"/>
      <c r="J125" s="19"/>
    </row>
    <row r="126" spans="1:10" x14ac:dyDescent="0.2">
      <c r="A126" s="1"/>
      <c r="B126" s="11"/>
      <c r="C126" s="4"/>
      <c r="D126" s="17"/>
      <c r="E126" s="18"/>
      <c r="F126" s="19"/>
      <c r="G126" s="4" t="s">
        <v>186</v>
      </c>
      <c r="H126" s="17"/>
      <c r="I126" s="18"/>
      <c r="J126" s="19"/>
    </row>
    <row r="127" spans="1:10" x14ac:dyDescent="0.2">
      <c r="A127" s="1"/>
      <c r="B127" s="11"/>
      <c r="C127" s="4"/>
      <c r="D127" s="17"/>
      <c r="E127" s="18"/>
      <c r="F127" s="19"/>
      <c r="G127" s="4" t="s">
        <v>187</v>
      </c>
      <c r="H127" s="17"/>
      <c r="I127" s="18"/>
      <c r="J127" s="19"/>
    </row>
    <row r="128" spans="1:10" x14ac:dyDescent="0.2">
      <c r="A128" s="1"/>
      <c r="B128" s="11"/>
      <c r="C128" s="4"/>
      <c r="D128" s="17"/>
      <c r="E128" s="18"/>
      <c r="F128" s="19"/>
      <c r="G128" s="4" t="s">
        <v>188</v>
      </c>
      <c r="H128" s="17"/>
      <c r="I128" s="18"/>
      <c r="J128" s="19"/>
    </row>
    <row r="129" spans="1:10" x14ac:dyDescent="0.2">
      <c r="A129" s="1"/>
      <c r="B129" s="11"/>
      <c r="C129" s="4"/>
      <c r="D129" s="17"/>
      <c r="E129" s="18"/>
      <c r="F129" s="19"/>
      <c r="G129" s="4" t="s">
        <v>189</v>
      </c>
      <c r="H129" s="17"/>
      <c r="I129" s="18"/>
      <c r="J129" s="19"/>
    </row>
    <row r="130" spans="1:10" x14ac:dyDescent="0.2">
      <c r="A130" s="1"/>
      <c r="B130" s="11"/>
      <c r="C130" s="4"/>
      <c r="D130" s="17"/>
      <c r="E130" s="18"/>
      <c r="F130" s="19"/>
      <c r="G130" s="4" t="s">
        <v>190</v>
      </c>
      <c r="H130" s="17"/>
      <c r="I130" s="18"/>
      <c r="J130" s="19"/>
    </row>
    <row r="131" spans="1:10" x14ac:dyDescent="0.2">
      <c r="A131" s="1"/>
      <c r="B131" s="11"/>
      <c r="C131" s="4"/>
      <c r="D131" s="17"/>
      <c r="E131" s="18"/>
      <c r="F131" s="19"/>
      <c r="G131" s="4" t="s">
        <v>191</v>
      </c>
      <c r="H131" s="17"/>
      <c r="I131" s="18"/>
      <c r="J131" s="19"/>
    </row>
    <row r="132" spans="1:10" x14ac:dyDescent="0.2">
      <c r="A132" s="1"/>
      <c r="B132" s="11"/>
      <c r="C132" s="4"/>
      <c r="D132" s="17"/>
      <c r="E132" s="18"/>
      <c r="F132" s="19"/>
      <c r="G132" s="4" t="s">
        <v>192</v>
      </c>
      <c r="H132" s="17"/>
      <c r="I132" s="18"/>
      <c r="J132" s="19"/>
    </row>
    <row r="133" spans="1:10" x14ac:dyDescent="0.2">
      <c r="A133" s="1"/>
      <c r="B133" s="11"/>
      <c r="C133" s="4"/>
      <c r="D133" s="17"/>
      <c r="E133" s="18"/>
      <c r="F133" s="19"/>
      <c r="G133" s="4" t="s">
        <v>193</v>
      </c>
      <c r="H133" s="17"/>
      <c r="I133" s="18"/>
      <c r="J133" s="19"/>
    </row>
    <row r="134" spans="1:10" x14ac:dyDescent="0.2">
      <c r="A134" s="1"/>
      <c r="B134" s="11"/>
      <c r="C134" s="4"/>
      <c r="D134" s="17"/>
      <c r="E134" s="18"/>
      <c r="F134" s="19"/>
      <c r="G134" s="4"/>
      <c r="H134" s="17"/>
      <c r="I134" s="18"/>
      <c r="J134" s="19"/>
    </row>
    <row r="135" spans="1:10" ht="132" x14ac:dyDescent="0.2">
      <c r="A135" s="1"/>
      <c r="B135" s="11"/>
      <c r="C135" s="4"/>
      <c r="D135" s="17"/>
      <c r="E135" s="18"/>
      <c r="F135" s="19"/>
      <c r="G135" s="4" t="s">
        <v>194</v>
      </c>
      <c r="H135" s="17"/>
      <c r="I135" s="18"/>
      <c r="J135" s="19"/>
    </row>
    <row r="136" spans="1:10" x14ac:dyDescent="0.2">
      <c r="A136" s="1"/>
      <c r="B136" s="11"/>
      <c r="C136" s="4"/>
      <c r="D136" s="17"/>
      <c r="E136" s="18"/>
      <c r="F136" s="19"/>
      <c r="G136" s="4"/>
      <c r="H136" s="17"/>
      <c r="I136" s="18"/>
      <c r="J136" s="19"/>
    </row>
    <row r="137" spans="1:10" ht="132" x14ac:dyDescent="0.2">
      <c r="A137" s="1"/>
      <c r="B137" s="11"/>
      <c r="C137" s="4"/>
      <c r="D137" s="17"/>
      <c r="E137" s="18"/>
      <c r="F137" s="19"/>
      <c r="G137" s="4" t="s">
        <v>195</v>
      </c>
      <c r="H137" s="17"/>
      <c r="I137" s="18"/>
      <c r="J137" s="19"/>
    </row>
    <row r="138" spans="1:10" ht="330" x14ac:dyDescent="0.2">
      <c r="A138" s="1" t="s">
        <v>26</v>
      </c>
      <c r="B138" s="11" t="s">
        <v>196</v>
      </c>
      <c r="C138" s="4" t="s">
        <v>197</v>
      </c>
      <c r="D138" s="17">
        <v>3</v>
      </c>
      <c r="E138" s="18">
        <v>4</v>
      </c>
      <c r="F138" s="19">
        <v>4</v>
      </c>
      <c r="G138" s="4" t="s">
        <v>198</v>
      </c>
      <c r="H138" s="17">
        <v>4</v>
      </c>
      <c r="I138" s="18">
        <v>4</v>
      </c>
      <c r="J138" s="19">
        <v>3</v>
      </c>
    </row>
    <row r="139" spans="1:10" x14ac:dyDescent="0.2">
      <c r="A139" s="1"/>
      <c r="B139" s="11"/>
      <c r="C139" s="4"/>
      <c r="D139" s="17"/>
      <c r="E139" s="18"/>
      <c r="F139" s="19"/>
      <c r="G139" s="4"/>
      <c r="H139" s="17"/>
      <c r="I139" s="18"/>
      <c r="J139" s="19"/>
    </row>
    <row r="140" spans="1:10" x14ac:dyDescent="0.2">
      <c r="A140" s="1"/>
      <c r="B140" s="11"/>
      <c r="C140" s="4"/>
      <c r="D140" s="17"/>
      <c r="E140" s="18"/>
      <c r="F140" s="19"/>
      <c r="G140" s="4" t="s">
        <v>199</v>
      </c>
      <c r="H140" s="17"/>
      <c r="I140" s="18"/>
      <c r="J140" s="19"/>
    </row>
    <row r="141" spans="1:10" x14ac:dyDescent="0.2">
      <c r="A141" s="1"/>
      <c r="B141" s="11"/>
      <c r="C141" s="4"/>
      <c r="D141" s="17"/>
      <c r="E141" s="18"/>
      <c r="F141" s="19"/>
      <c r="G141" s="4" t="s">
        <v>200</v>
      </c>
      <c r="H141" s="17"/>
      <c r="I141" s="18"/>
      <c r="J141" s="19"/>
    </row>
    <row r="142" spans="1:10" x14ac:dyDescent="0.2">
      <c r="A142" s="1"/>
      <c r="B142" s="11"/>
      <c r="C142" s="4"/>
      <c r="D142" s="17"/>
      <c r="E142" s="18"/>
      <c r="F142" s="19"/>
      <c r="G142" s="4" t="s">
        <v>201</v>
      </c>
      <c r="H142" s="17"/>
      <c r="I142" s="18"/>
      <c r="J142" s="19"/>
    </row>
    <row r="143" spans="1:10" x14ac:dyDescent="0.2">
      <c r="A143" s="1"/>
      <c r="B143" s="11"/>
      <c r="C143" s="4"/>
      <c r="D143" s="17"/>
      <c r="E143" s="18"/>
      <c r="F143" s="19"/>
      <c r="G143" s="4" t="s">
        <v>202</v>
      </c>
      <c r="H143" s="17"/>
      <c r="I143" s="18"/>
      <c r="J143" s="19"/>
    </row>
    <row r="144" spans="1:10" ht="44" x14ac:dyDescent="0.2">
      <c r="A144" s="1"/>
      <c r="B144" s="11"/>
      <c r="C144" s="4"/>
      <c r="D144" s="17"/>
      <c r="E144" s="18"/>
      <c r="F144" s="19"/>
      <c r="G144" s="4" t="s">
        <v>203</v>
      </c>
      <c r="H144" s="17"/>
      <c r="I144" s="18"/>
      <c r="J144" s="19"/>
    </row>
    <row r="145" spans="1:10" x14ac:dyDescent="0.2">
      <c r="A145" s="1"/>
      <c r="B145" s="11"/>
      <c r="C145" s="4"/>
      <c r="D145" s="17"/>
      <c r="E145" s="18"/>
      <c r="F145" s="19"/>
      <c r="G145" s="4" t="s">
        <v>204</v>
      </c>
      <c r="H145" s="17"/>
      <c r="I145" s="18"/>
      <c r="J145" s="19"/>
    </row>
    <row r="146" spans="1:10" x14ac:dyDescent="0.2">
      <c r="A146" s="1"/>
      <c r="B146" s="11"/>
      <c r="C146" s="4"/>
      <c r="D146" s="17"/>
      <c r="E146" s="18"/>
      <c r="F146" s="19"/>
      <c r="G146" s="4" t="s">
        <v>205</v>
      </c>
      <c r="H146" s="17"/>
      <c r="I146" s="18"/>
      <c r="J146" s="19"/>
    </row>
    <row r="147" spans="1:10" x14ac:dyDescent="0.2">
      <c r="A147" s="1"/>
      <c r="B147" s="11"/>
      <c r="C147" s="4"/>
      <c r="D147" s="17"/>
      <c r="E147" s="18"/>
      <c r="F147" s="19"/>
      <c r="G147" s="4" t="s">
        <v>206</v>
      </c>
      <c r="H147" s="17"/>
      <c r="I147" s="18"/>
      <c r="J147" s="19"/>
    </row>
    <row r="148" spans="1:10" x14ac:dyDescent="0.2">
      <c r="A148" s="1"/>
      <c r="B148" s="11"/>
      <c r="C148" s="4"/>
      <c r="D148" s="17"/>
      <c r="E148" s="18"/>
      <c r="F148" s="19"/>
      <c r="G148" s="4"/>
      <c r="H148" s="17"/>
      <c r="I148" s="18"/>
      <c r="J148" s="19"/>
    </row>
    <row r="149" spans="1:10" ht="44" x14ac:dyDescent="0.2">
      <c r="A149" s="1"/>
      <c r="B149" s="11"/>
      <c r="C149" s="4"/>
      <c r="D149" s="17"/>
      <c r="E149" s="18"/>
      <c r="F149" s="19"/>
      <c r="G149" s="4" t="s">
        <v>207</v>
      </c>
      <c r="H149" s="17"/>
      <c r="I149" s="18"/>
      <c r="J149" s="19"/>
    </row>
    <row r="150" spans="1:10" x14ac:dyDescent="0.2">
      <c r="A150" s="1"/>
      <c r="B150" s="11"/>
      <c r="C150" s="4"/>
      <c r="D150" s="17"/>
      <c r="E150" s="18"/>
      <c r="F150" s="19"/>
      <c r="G150" s="4" t="s">
        <v>208</v>
      </c>
      <c r="H150" s="17"/>
      <c r="I150" s="18"/>
      <c r="J150" s="19"/>
    </row>
    <row r="151" spans="1:10" ht="110" x14ac:dyDescent="0.2">
      <c r="A151" s="1"/>
      <c r="B151" s="11"/>
      <c r="C151" s="4"/>
      <c r="D151" s="17"/>
      <c r="E151" s="18"/>
      <c r="F151" s="19"/>
      <c r="G151" s="4" t="s">
        <v>209</v>
      </c>
      <c r="H151" s="17"/>
      <c r="I151" s="18"/>
      <c r="J151" s="19"/>
    </row>
    <row r="152" spans="1:10" ht="38" thickBot="1" x14ac:dyDescent="0.25">
      <c r="A152" s="1"/>
      <c r="B152" s="11"/>
      <c r="C152" s="4"/>
      <c r="D152" s="20"/>
      <c r="E152" s="21"/>
      <c r="F152" s="22"/>
      <c r="G152" s="4"/>
      <c r="H152" s="20"/>
      <c r="I152" s="21"/>
      <c r="J152" s="2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EB426-A95F-C84D-AFFF-CA698ABDC21E}">
  <sheetPr>
    <tabColor rgb="FFC00000"/>
  </sheetPr>
  <dimension ref="A1:N27"/>
  <sheetViews>
    <sheetView workbookViewId="0">
      <selection activeCell="B16" sqref="B16"/>
    </sheetView>
  </sheetViews>
  <sheetFormatPr baseColWidth="10" defaultRowHeight="21" x14ac:dyDescent="0.25"/>
  <cols>
    <col min="1" max="1" width="38.33203125" customWidth="1"/>
    <col min="2" max="2" width="63" style="36" customWidth="1"/>
    <col min="3" max="5" width="11.1640625" style="5" bestFit="1" customWidth="1"/>
    <col min="6" max="7" width="10.1640625" style="5" bestFit="1" customWidth="1"/>
    <col min="8" max="8" width="11.1640625" style="5" bestFit="1" customWidth="1"/>
    <col min="9" max="10" width="11.1640625" bestFit="1" customWidth="1"/>
    <col min="11" max="12" width="11" bestFit="1" customWidth="1"/>
    <col min="13" max="14" width="11.1640625" bestFit="1" customWidth="1"/>
  </cols>
  <sheetData>
    <row r="1" spans="1:14" ht="134" customHeight="1" x14ac:dyDescent="0.2">
      <c r="A1" s="1" t="s">
        <v>0</v>
      </c>
      <c r="B1" s="4" t="s">
        <v>1</v>
      </c>
      <c r="C1" s="38" t="s">
        <v>215</v>
      </c>
      <c r="D1" s="39" t="s">
        <v>216</v>
      </c>
      <c r="E1" s="40" t="s">
        <v>217</v>
      </c>
      <c r="F1" s="41" t="s">
        <v>218</v>
      </c>
      <c r="G1" s="42" t="s">
        <v>219</v>
      </c>
      <c r="H1" s="43" t="s">
        <v>220</v>
      </c>
      <c r="I1" s="52" t="s">
        <v>3</v>
      </c>
      <c r="J1" s="52" t="s">
        <v>4</v>
      </c>
      <c r="K1" s="52" t="s">
        <v>5</v>
      </c>
      <c r="L1" s="53" t="s">
        <v>6</v>
      </c>
      <c r="M1" s="53" t="s">
        <v>7</v>
      </c>
      <c r="N1" s="53" t="s">
        <v>8</v>
      </c>
    </row>
    <row r="2" spans="1:14" ht="22" x14ac:dyDescent="0.2">
      <c r="A2" s="1" t="s">
        <v>18</v>
      </c>
      <c r="B2" s="4" t="s">
        <v>19</v>
      </c>
      <c r="C2" s="55">
        <v>3</v>
      </c>
      <c r="D2" s="56">
        <v>3</v>
      </c>
      <c r="E2" s="57">
        <v>2</v>
      </c>
      <c r="F2" s="55">
        <v>4</v>
      </c>
      <c r="G2" s="56">
        <v>4</v>
      </c>
      <c r="H2" s="57">
        <v>3</v>
      </c>
      <c r="I2" s="50">
        <v>4</v>
      </c>
      <c r="J2" s="50">
        <v>1</v>
      </c>
      <c r="K2" s="50">
        <v>3</v>
      </c>
      <c r="L2" s="50">
        <v>3</v>
      </c>
      <c r="M2" s="50">
        <v>4</v>
      </c>
      <c r="N2" s="50">
        <v>2</v>
      </c>
    </row>
    <row r="3" spans="1:14" ht="22" x14ac:dyDescent="0.2">
      <c r="A3" s="1" t="s">
        <v>22</v>
      </c>
      <c r="B3" s="4" t="s">
        <v>23</v>
      </c>
      <c r="C3" s="55">
        <v>3</v>
      </c>
      <c r="D3" s="56">
        <v>4</v>
      </c>
      <c r="E3" s="57">
        <v>2</v>
      </c>
      <c r="F3" s="55">
        <v>5</v>
      </c>
      <c r="G3" s="56">
        <v>5</v>
      </c>
      <c r="H3" s="57">
        <v>3</v>
      </c>
      <c r="I3" s="51">
        <v>5</v>
      </c>
      <c r="J3" s="51">
        <v>5</v>
      </c>
      <c r="K3" s="51">
        <v>4</v>
      </c>
      <c r="L3" s="51">
        <v>5</v>
      </c>
      <c r="M3" s="51">
        <v>5</v>
      </c>
      <c r="N3" s="51">
        <v>5</v>
      </c>
    </row>
    <row r="4" spans="1:14" ht="22" x14ac:dyDescent="0.2">
      <c r="A4" s="1" t="s">
        <v>26</v>
      </c>
      <c r="B4" s="4" t="s">
        <v>27</v>
      </c>
      <c r="C4" s="55">
        <v>3</v>
      </c>
      <c r="D4" s="56">
        <v>4</v>
      </c>
      <c r="E4" s="57">
        <v>2</v>
      </c>
      <c r="F4" s="55">
        <v>5</v>
      </c>
      <c r="G4" s="56">
        <v>4</v>
      </c>
      <c r="H4" s="57">
        <v>3</v>
      </c>
      <c r="I4" s="50">
        <v>4</v>
      </c>
      <c r="J4" s="50">
        <v>2</v>
      </c>
      <c r="K4" s="50">
        <v>2</v>
      </c>
      <c r="L4" s="50">
        <v>5</v>
      </c>
      <c r="M4" s="50">
        <v>4</v>
      </c>
      <c r="N4" s="50">
        <v>4</v>
      </c>
    </row>
    <row r="5" spans="1:14" ht="22" x14ac:dyDescent="0.2">
      <c r="A5" s="1" t="s">
        <v>32</v>
      </c>
      <c r="B5" s="4" t="s">
        <v>33</v>
      </c>
      <c r="C5" s="55">
        <v>2</v>
      </c>
      <c r="D5" s="56">
        <v>4</v>
      </c>
      <c r="E5" s="57">
        <v>1</v>
      </c>
      <c r="F5" s="55">
        <v>5</v>
      </c>
      <c r="G5" s="56">
        <v>3</v>
      </c>
      <c r="H5" s="57">
        <v>2</v>
      </c>
      <c r="I5" s="51">
        <v>4</v>
      </c>
      <c r="J5" s="51">
        <v>2</v>
      </c>
      <c r="K5" s="51">
        <v>2</v>
      </c>
      <c r="L5" s="51">
        <v>5</v>
      </c>
      <c r="M5" s="51">
        <v>3</v>
      </c>
      <c r="N5" s="51">
        <v>5</v>
      </c>
    </row>
    <row r="6" spans="1:14" ht="22" x14ac:dyDescent="0.2">
      <c r="A6" s="1" t="s">
        <v>36</v>
      </c>
      <c r="B6" s="4" t="s">
        <v>37</v>
      </c>
      <c r="C6" s="55">
        <v>3</v>
      </c>
      <c r="D6" s="56">
        <v>4</v>
      </c>
      <c r="E6" s="57">
        <v>2</v>
      </c>
      <c r="F6" s="55">
        <v>5</v>
      </c>
      <c r="G6" s="56">
        <v>5</v>
      </c>
      <c r="H6" s="57">
        <v>3</v>
      </c>
      <c r="I6" s="50">
        <v>3</v>
      </c>
      <c r="J6" s="50">
        <v>3</v>
      </c>
      <c r="K6" s="50">
        <v>2</v>
      </c>
      <c r="L6" s="50">
        <v>5</v>
      </c>
      <c r="M6" s="50">
        <v>5</v>
      </c>
      <c r="N6" s="50">
        <v>5</v>
      </c>
    </row>
    <row r="7" spans="1:14" ht="22" x14ac:dyDescent="0.2">
      <c r="A7" s="1" t="s">
        <v>40</v>
      </c>
      <c r="B7" s="4" t="s">
        <v>19</v>
      </c>
      <c r="C7" s="55">
        <v>4</v>
      </c>
      <c r="D7" s="56">
        <v>4</v>
      </c>
      <c r="E7" s="57">
        <v>2</v>
      </c>
      <c r="F7" s="55">
        <v>5</v>
      </c>
      <c r="G7" s="56">
        <v>5</v>
      </c>
      <c r="H7" s="57">
        <v>3</v>
      </c>
      <c r="I7" s="51">
        <v>4</v>
      </c>
      <c r="J7" s="51">
        <v>3</v>
      </c>
      <c r="K7" s="51">
        <v>2</v>
      </c>
      <c r="L7" s="51">
        <v>5</v>
      </c>
      <c r="M7" s="51">
        <v>5</v>
      </c>
      <c r="N7" s="51">
        <v>4</v>
      </c>
    </row>
    <row r="8" spans="1:14" ht="22" x14ac:dyDescent="0.2">
      <c r="A8" s="1" t="s">
        <v>30</v>
      </c>
      <c r="B8" s="4" t="s">
        <v>37</v>
      </c>
      <c r="C8" s="55">
        <v>4</v>
      </c>
      <c r="D8" s="56">
        <v>4</v>
      </c>
      <c r="E8" s="57">
        <v>2</v>
      </c>
      <c r="F8" s="55">
        <v>5</v>
      </c>
      <c r="G8" s="56">
        <v>5</v>
      </c>
      <c r="H8" s="57">
        <v>4</v>
      </c>
      <c r="I8" s="50">
        <v>4</v>
      </c>
      <c r="J8" s="50">
        <v>2</v>
      </c>
      <c r="K8" s="50">
        <v>2</v>
      </c>
      <c r="L8" s="50">
        <v>5</v>
      </c>
      <c r="M8" s="50">
        <v>5</v>
      </c>
      <c r="N8" s="50">
        <v>5</v>
      </c>
    </row>
    <row r="9" spans="1:14" ht="22" x14ac:dyDescent="0.2">
      <c r="A9" s="1" t="s">
        <v>45</v>
      </c>
      <c r="B9" s="4" t="s">
        <v>46</v>
      </c>
      <c r="C9" s="55">
        <v>2</v>
      </c>
      <c r="D9" s="56">
        <v>4</v>
      </c>
      <c r="E9" s="57">
        <v>1</v>
      </c>
      <c r="F9" s="55">
        <v>2</v>
      </c>
      <c r="G9" s="56">
        <v>3</v>
      </c>
      <c r="H9" s="57">
        <v>2</v>
      </c>
      <c r="I9" s="51">
        <v>3</v>
      </c>
      <c r="J9" s="51">
        <v>2</v>
      </c>
      <c r="K9" s="51">
        <v>2</v>
      </c>
      <c r="L9" s="51">
        <v>2</v>
      </c>
      <c r="M9" s="51">
        <v>2</v>
      </c>
      <c r="N9" s="51">
        <v>2</v>
      </c>
    </row>
    <row r="10" spans="1:14" ht="22" x14ac:dyDescent="0.2">
      <c r="A10" s="1" t="s">
        <v>49</v>
      </c>
      <c r="B10" s="4" t="s">
        <v>50</v>
      </c>
      <c r="C10" s="55">
        <v>4</v>
      </c>
      <c r="D10" s="56">
        <v>4</v>
      </c>
      <c r="E10" s="57">
        <v>2</v>
      </c>
      <c r="F10" s="55">
        <v>5</v>
      </c>
      <c r="G10" s="56">
        <v>4</v>
      </c>
      <c r="H10" s="57">
        <v>4</v>
      </c>
      <c r="I10" s="50">
        <v>4</v>
      </c>
      <c r="J10" s="50">
        <v>5</v>
      </c>
      <c r="K10" s="50">
        <v>2</v>
      </c>
      <c r="L10" s="50">
        <v>5</v>
      </c>
      <c r="M10" s="50">
        <v>5</v>
      </c>
      <c r="N10" s="50">
        <v>5</v>
      </c>
    </row>
    <row r="11" spans="1:14" ht="22" x14ac:dyDescent="0.2">
      <c r="A11" s="1" t="s">
        <v>53</v>
      </c>
      <c r="B11" s="4" t="s">
        <v>54</v>
      </c>
      <c r="C11" s="55">
        <v>4</v>
      </c>
      <c r="D11" s="56">
        <v>4</v>
      </c>
      <c r="E11" s="57">
        <v>3</v>
      </c>
      <c r="F11" s="55">
        <v>4</v>
      </c>
      <c r="G11" s="56">
        <v>5</v>
      </c>
      <c r="H11" s="57">
        <v>4</v>
      </c>
      <c r="I11" s="51">
        <v>4</v>
      </c>
      <c r="J11" s="51">
        <v>4</v>
      </c>
      <c r="K11" s="51">
        <v>2</v>
      </c>
      <c r="L11" s="51">
        <v>4</v>
      </c>
      <c r="M11" s="51">
        <v>5</v>
      </c>
      <c r="N11" s="51">
        <v>3</v>
      </c>
    </row>
    <row r="12" spans="1:14" ht="22" x14ac:dyDescent="0.2">
      <c r="A12" s="1" t="s">
        <v>57</v>
      </c>
      <c r="B12" s="4" t="s">
        <v>54</v>
      </c>
      <c r="C12" s="55">
        <v>4</v>
      </c>
      <c r="D12" s="56">
        <v>3</v>
      </c>
      <c r="E12" s="57">
        <v>3</v>
      </c>
      <c r="F12" s="55">
        <v>5</v>
      </c>
      <c r="G12" s="56">
        <v>4</v>
      </c>
      <c r="H12" s="57">
        <v>4</v>
      </c>
      <c r="I12" s="50">
        <v>5</v>
      </c>
      <c r="J12" s="50">
        <v>4</v>
      </c>
      <c r="K12" s="50">
        <v>2</v>
      </c>
      <c r="L12" s="50">
        <v>5</v>
      </c>
      <c r="M12" s="50">
        <v>4</v>
      </c>
      <c r="N12" s="50">
        <v>4</v>
      </c>
    </row>
    <row r="13" spans="1:14" ht="22" x14ac:dyDescent="0.2">
      <c r="A13" s="1" t="s">
        <v>60</v>
      </c>
      <c r="B13" s="4" t="s">
        <v>61</v>
      </c>
      <c r="C13" s="55">
        <v>3</v>
      </c>
      <c r="D13" s="56">
        <v>4</v>
      </c>
      <c r="E13" s="57">
        <v>2</v>
      </c>
      <c r="F13" s="55">
        <v>5</v>
      </c>
      <c r="G13" s="56">
        <v>4</v>
      </c>
      <c r="H13" s="57">
        <v>4</v>
      </c>
      <c r="I13" s="51">
        <v>4</v>
      </c>
      <c r="J13" s="51">
        <v>2</v>
      </c>
      <c r="K13" s="51">
        <v>2</v>
      </c>
      <c r="L13" s="51">
        <v>5</v>
      </c>
      <c r="M13" s="51">
        <v>5</v>
      </c>
      <c r="N13" s="51">
        <v>5</v>
      </c>
    </row>
    <row r="14" spans="1:14" ht="22" x14ac:dyDescent="0.2">
      <c r="A14" s="1" t="s">
        <v>69</v>
      </c>
      <c r="B14" s="4" t="s">
        <v>23</v>
      </c>
      <c r="C14" s="55">
        <v>3</v>
      </c>
      <c r="D14" s="56">
        <v>4</v>
      </c>
      <c r="E14" s="57">
        <v>1</v>
      </c>
      <c r="F14" s="55">
        <v>5</v>
      </c>
      <c r="G14" s="56">
        <v>4</v>
      </c>
      <c r="H14" s="57">
        <v>4</v>
      </c>
      <c r="I14" s="50">
        <v>5</v>
      </c>
      <c r="J14" s="50">
        <v>4</v>
      </c>
      <c r="K14" s="50">
        <v>3</v>
      </c>
      <c r="L14" s="50">
        <v>5</v>
      </c>
      <c r="M14" s="50">
        <v>5</v>
      </c>
      <c r="N14" s="50">
        <v>4</v>
      </c>
    </row>
    <row r="15" spans="1:14" ht="22" x14ac:dyDescent="0.2">
      <c r="A15" s="1" t="s">
        <v>72</v>
      </c>
      <c r="B15" s="4" t="s">
        <v>54</v>
      </c>
      <c r="C15" s="55">
        <v>4</v>
      </c>
      <c r="D15" s="56">
        <v>4</v>
      </c>
      <c r="E15" s="57">
        <v>3</v>
      </c>
      <c r="F15" s="55">
        <v>5</v>
      </c>
      <c r="G15" s="56">
        <v>5</v>
      </c>
      <c r="H15" s="57">
        <v>4</v>
      </c>
      <c r="I15" s="51">
        <v>5</v>
      </c>
      <c r="J15" s="51">
        <v>5</v>
      </c>
      <c r="K15" s="51">
        <v>2</v>
      </c>
      <c r="L15" s="51">
        <v>5</v>
      </c>
      <c r="M15" s="51">
        <v>5</v>
      </c>
      <c r="N15" s="51">
        <v>5</v>
      </c>
    </row>
    <row r="16" spans="1:14" ht="22" x14ac:dyDescent="0.2">
      <c r="A16" s="1" t="s">
        <v>75</v>
      </c>
      <c r="B16" s="4" t="s">
        <v>27</v>
      </c>
      <c r="C16" s="55">
        <v>4</v>
      </c>
      <c r="D16" s="56">
        <v>4</v>
      </c>
      <c r="E16" s="57">
        <v>2</v>
      </c>
      <c r="F16" s="55">
        <v>5</v>
      </c>
      <c r="G16" s="56">
        <v>5</v>
      </c>
      <c r="H16" s="57">
        <v>3</v>
      </c>
      <c r="I16" s="50">
        <v>4</v>
      </c>
      <c r="J16" s="50">
        <v>3</v>
      </c>
      <c r="K16" s="50">
        <v>3</v>
      </c>
      <c r="L16" s="50">
        <v>5</v>
      </c>
      <c r="M16" s="50">
        <v>4</v>
      </c>
      <c r="N16" s="50">
        <v>4</v>
      </c>
    </row>
    <row r="17" spans="1:14" ht="22" x14ac:dyDescent="0.2">
      <c r="A17" s="1" t="s">
        <v>96</v>
      </c>
      <c r="B17" s="4" t="s">
        <v>97</v>
      </c>
      <c r="C17" s="55">
        <v>4</v>
      </c>
      <c r="D17" s="56">
        <v>4</v>
      </c>
      <c r="E17" s="57">
        <v>3</v>
      </c>
      <c r="F17" s="55">
        <v>5</v>
      </c>
      <c r="G17" s="56">
        <v>4</v>
      </c>
      <c r="H17" s="57">
        <v>4</v>
      </c>
      <c r="I17" s="51">
        <v>5</v>
      </c>
      <c r="J17" s="51">
        <v>4</v>
      </c>
      <c r="K17" s="51">
        <v>2</v>
      </c>
      <c r="L17" s="51">
        <v>5</v>
      </c>
      <c r="M17" s="51">
        <v>5</v>
      </c>
      <c r="N17" s="51">
        <v>5</v>
      </c>
    </row>
    <row r="18" spans="1:14" ht="22" x14ac:dyDescent="0.2">
      <c r="A18" s="1" t="s">
        <v>113</v>
      </c>
      <c r="B18" s="4" t="s">
        <v>37</v>
      </c>
      <c r="C18" s="55">
        <v>3</v>
      </c>
      <c r="D18" s="56">
        <v>4</v>
      </c>
      <c r="E18" s="57">
        <v>2</v>
      </c>
      <c r="F18" s="55">
        <v>4</v>
      </c>
      <c r="G18" s="56">
        <v>4</v>
      </c>
      <c r="H18" s="57">
        <v>4</v>
      </c>
      <c r="I18" s="50">
        <v>3</v>
      </c>
      <c r="J18" s="50">
        <v>5</v>
      </c>
      <c r="K18" s="50">
        <v>2</v>
      </c>
      <c r="L18" s="50">
        <v>5</v>
      </c>
      <c r="M18" s="50">
        <v>5</v>
      </c>
      <c r="N18" s="50">
        <v>5</v>
      </c>
    </row>
    <row r="19" spans="1:14" ht="22" x14ac:dyDescent="0.2">
      <c r="A19" s="1" t="s">
        <v>122</v>
      </c>
      <c r="B19" s="4" t="s">
        <v>123</v>
      </c>
      <c r="C19" s="55">
        <v>4</v>
      </c>
      <c r="D19" s="56">
        <v>4</v>
      </c>
      <c r="E19" s="57">
        <v>2</v>
      </c>
      <c r="F19" s="55">
        <v>4</v>
      </c>
      <c r="G19" s="56">
        <v>4</v>
      </c>
      <c r="H19" s="57">
        <v>3</v>
      </c>
      <c r="I19" s="51">
        <v>4</v>
      </c>
      <c r="J19" s="51">
        <v>5</v>
      </c>
      <c r="K19" s="51">
        <v>3</v>
      </c>
      <c r="L19" s="51">
        <v>5</v>
      </c>
      <c r="M19" s="51">
        <v>5</v>
      </c>
      <c r="N19" s="51">
        <v>5</v>
      </c>
    </row>
    <row r="20" spans="1:14" ht="22" x14ac:dyDescent="0.2">
      <c r="A20" s="1" t="s">
        <v>128</v>
      </c>
      <c r="B20" s="4" t="s">
        <v>27</v>
      </c>
      <c r="C20" s="55">
        <v>3</v>
      </c>
      <c r="D20" s="56">
        <v>4</v>
      </c>
      <c r="E20" s="57">
        <v>1</v>
      </c>
      <c r="F20" s="55">
        <v>4</v>
      </c>
      <c r="G20" s="56">
        <v>5</v>
      </c>
      <c r="H20" s="57">
        <v>3</v>
      </c>
      <c r="I20" s="50">
        <v>5</v>
      </c>
      <c r="J20" s="50">
        <v>3</v>
      </c>
      <c r="K20" s="50">
        <v>3</v>
      </c>
      <c r="L20" s="50">
        <v>4</v>
      </c>
      <c r="M20" s="50">
        <v>4</v>
      </c>
      <c r="N20" s="50">
        <v>3</v>
      </c>
    </row>
    <row r="21" spans="1:14" ht="22" x14ac:dyDescent="0.2">
      <c r="A21" s="1" t="s">
        <v>137</v>
      </c>
      <c r="B21" s="4" t="s">
        <v>61</v>
      </c>
      <c r="C21" s="55">
        <v>3</v>
      </c>
      <c r="D21" s="56">
        <v>4</v>
      </c>
      <c r="E21" s="57">
        <v>1</v>
      </c>
      <c r="F21" s="55">
        <v>4</v>
      </c>
      <c r="G21" s="56">
        <v>5</v>
      </c>
      <c r="H21" s="57">
        <v>3</v>
      </c>
      <c r="I21" s="51">
        <v>4</v>
      </c>
      <c r="J21" s="51">
        <v>4</v>
      </c>
      <c r="K21" s="51">
        <v>2</v>
      </c>
      <c r="L21" s="51">
        <v>5</v>
      </c>
      <c r="M21" s="51">
        <v>5</v>
      </c>
      <c r="N21" s="51">
        <v>5</v>
      </c>
    </row>
    <row r="22" spans="1:14" ht="22" x14ac:dyDescent="0.2">
      <c r="A22" s="1" t="s">
        <v>149</v>
      </c>
      <c r="B22" s="4" t="s">
        <v>123</v>
      </c>
      <c r="C22" s="55">
        <v>3</v>
      </c>
      <c r="D22" s="56">
        <v>4</v>
      </c>
      <c r="E22" s="57">
        <v>1</v>
      </c>
      <c r="F22" s="55">
        <v>3</v>
      </c>
      <c r="G22" s="56">
        <v>4</v>
      </c>
      <c r="H22" s="57">
        <v>3</v>
      </c>
      <c r="I22" s="50">
        <v>4</v>
      </c>
      <c r="J22" s="50">
        <v>3</v>
      </c>
      <c r="K22" s="50">
        <v>2</v>
      </c>
      <c r="L22" s="50">
        <v>5</v>
      </c>
      <c r="M22" s="50">
        <v>5</v>
      </c>
      <c r="N22" s="50">
        <v>5</v>
      </c>
    </row>
    <row r="23" spans="1:14" ht="22" x14ac:dyDescent="0.2">
      <c r="A23" s="1" t="s">
        <v>113</v>
      </c>
      <c r="B23" s="4" t="s">
        <v>97</v>
      </c>
      <c r="C23" s="55">
        <v>3</v>
      </c>
      <c r="D23" s="56">
        <v>4</v>
      </c>
      <c r="E23" s="57">
        <v>2</v>
      </c>
      <c r="F23" s="55">
        <v>4</v>
      </c>
      <c r="G23" s="56">
        <v>5</v>
      </c>
      <c r="H23" s="57">
        <v>4</v>
      </c>
      <c r="I23" s="51">
        <v>5</v>
      </c>
      <c r="J23" s="51">
        <v>4</v>
      </c>
      <c r="K23" s="51">
        <v>3</v>
      </c>
      <c r="L23" s="51">
        <v>5</v>
      </c>
      <c r="M23" s="51">
        <v>5</v>
      </c>
      <c r="N23" s="51">
        <v>4</v>
      </c>
    </row>
    <row r="24" spans="1:14" ht="22" x14ac:dyDescent="0.2">
      <c r="A24" s="1" t="s">
        <v>60</v>
      </c>
      <c r="B24" s="4" t="s">
        <v>168</v>
      </c>
      <c r="C24" s="55">
        <v>2</v>
      </c>
      <c r="D24" s="56">
        <v>3</v>
      </c>
      <c r="E24" s="57">
        <v>1</v>
      </c>
      <c r="F24" s="55">
        <v>4</v>
      </c>
      <c r="G24" s="56">
        <v>4</v>
      </c>
      <c r="H24" s="57">
        <v>3</v>
      </c>
      <c r="I24" s="50">
        <v>2</v>
      </c>
      <c r="J24" s="50">
        <v>1</v>
      </c>
      <c r="K24" s="50">
        <v>1</v>
      </c>
      <c r="L24" s="50">
        <v>5</v>
      </c>
      <c r="M24" s="50">
        <v>4</v>
      </c>
      <c r="N24" s="50">
        <v>5</v>
      </c>
    </row>
    <row r="25" spans="1:14" ht="22" x14ac:dyDescent="0.2">
      <c r="A25" s="1" t="s">
        <v>171</v>
      </c>
      <c r="B25" s="4" t="s">
        <v>23</v>
      </c>
      <c r="C25" s="55">
        <v>4</v>
      </c>
      <c r="D25" s="56">
        <v>4</v>
      </c>
      <c r="E25" s="57">
        <v>3</v>
      </c>
      <c r="F25" s="55">
        <v>4</v>
      </c>
      <c r="G25" s="56">
        <v>4</v>
      </c>
      <c r="H25" s="57">
        <v>4</v>
      </c>
      <c r="I25" s="51">
        <v>5</v>
      </c>
      <c r="J25" s="51">
        <v>4</v>
      </c>
      <c r="K25" s="51">
        <v>3</v>
      </c>
      <c r="L25" s="51">
        <v>5</v>
      </c>
      <c r="M25" s="51">
        <v>5</v>
      </c>
      <c r="N25" s="51">
        <v>4</v>
      </c>
    </row>
    <row r="26" spans="1:14" ht="22" x14ac:dyDescent="0.2">
      <c r="A26" s="1" t="s">
        <v>182</v>
      </c>
      <c r="B26" s="4" t="s">
        <v>23</v>
      </c>
      <c r="C26" s="55">
        <v>4</v>
      </c>
      <c r="D26" s="56">
        <v>4</v>
      </c>
      <c r="E26" s="57">
        <v>3</v>
      </c>
      <c r="F26" s="55">
        <v>4</v>
      </c>
      <c r="G26" s="56">
        <v>4</v>
      </c>
      <c r="H26" s="57">
        <v>4</v>
      </c>
      <c r="I26" s="50">
        <v>5</v>
      </c>
      <c r="J26" s="50">
        <v>5</v>
      </c>
      <c r="K26" s="50">
        <v>2</v>
      </c>
      <c r="L26" s="50">
        <v>5</v>
      </c>
      <c r="M26" s="50">
        <v>5</v>
      </c>
      <c r="N26" s="50">
        <v>4</v>
      </c>
    </row>
    <row r="27" spans="1:14" ht="22" x14ac:dyDescent="0.2">
      <c r="A27" s="1" t="s">
        <v>26</v>
      </c>
      <c r="B27" s="4" t="s">
        <v>196</v>
      </c>
      <c r="C27" s="55">
        <v>3</v>
      </c>
      <c r="D27" s="56">
        <v>4</v>
      </c>
      <c r="E27" s="57">
        <v>4</v>
      </c>
      <c r="F27" s="55">
        <v>4</v>
      </c>
      <c r="G27" s="56">
        <v>4</v>
      </c>
      <c r="H27" s="57">
        <v>3</v>
      </c>
      <c r="I27" s="51">
        <v>4</v>
      </c>
      <c r="J27" s="51">
        <v>3</v>
      </c>
      <c r="K27" s="51">
        <v>3</v>
      </c>
      <c r="L27" s="51">
        <v>5</v>
      </c>
      <c r="M27" s="51">
        <v>4</v>
      </c>
      <c r="N27" s="51">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unit_test_results_1and2</vt:lpstr>
      <vt:lpstr>unit_test_1and2.F</vt:lpstr>
      <vt:lpstr>PV.A</vt:lpstr>
      <vt:lpstr>Graph</vt:lpstr>
      <vt:lpstr>human_scoring</vt:lpstr>
      <vt:lpstr>hj_lj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Saxena</dc:creator>
  <cp:lastModifiedBy>Vishal Saxena</cp:lastModifiedBy>
  <dcterms:created xsi:type="dcterms:W3CDTF">2025-11-08T23:20:28Z</dcterms:created>
  <dcterms:modified xsi:type="dcterms:W3CDTF">2025-11-09T03:20:50Z</dcterms:modified>
</cp:coreProperties>
</file>